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AFO" sheetId="2" state="visible" r:id="rId2"/>
    <sheet name="D. Tributário" sheetId="3" state="visible" r:id="rId3"/>
    <sheet name="D. Administrativo" sheetId="4" state="visible" r:id="rId4"/>
    <sheet name="Gestão de Contratos" sheetId="5" state="visible" r:id="rId5"/>
    <sheet name="D. Constitucional" sheetId="6" state="visible" r:id="rId6"/>
    <sheet name="LO e RI do TCDF" sheetId="7" state="visible" r:id="rId7"/>
    <sheet name="LODF" sheetId="8" state="visible" r:id="rId8"/>
    <sheet name="Adm. Geral e Pública" sheetId="9" state="visible" r:id="rId9"/>
    <sheet name="Análise de Dados" sheetId="10" state="visible" r:id="rId10"/>
    <sheet name="LC 840 Servidores" sheetId="11" state="visible" r:id="rId11"/>
    <sheet name="D. Previdenciário" sheetId="12" state="visible" r:id="rId12"/>
    <sheet name="D. Civil" sheetId="13" state="visible" r:id="rId13"/>
    <sheet name="Português" sheetId="14" state="visible" r:id="rId14"/>
    <sheet name="RLM" sheetId="15" state="visible" r:id="rId15"/>
    <sheet name="DF e Mulheres" sheetId="16" state="visible" r:id="rId16"/>
    <sheet name="Primeiros Socorros" sheetId="17" state="visible" r:id="rId17"/>
    <sheet name="Aulas do Gr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6D28D9"/>
      <sz val="14"/>
    </font>
    <font>
      <name val="Arial"/>
      <color rgb="006B7280"/>
      <sz val="9"/>
    </font>
    <font>
      <name val="Arial"/>
      <i val="1"/>
      <color rgb="006B7280"/>
      <sz val="9"/>
    </font>
    <font>
      <name val="Arial"/>
      <b val="1"/>
      <sz val="9"/>
    </font>
    <font>
      <name val="Arial"/>
      <b val="1"/>
      <color rgb="006D28D9"/>
      <sz val="8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374151"/>
      <sz val="9"/>
    </font>
    <font>
      <name val="Arial"/>
      <color rgb="006D28D9"/>
      <sz val="9"/>
    </font>
    <font>
      <name val="Arial"/>
      <b val="1"/>
      <color rgb="006D28D9"/>
      <sz val="11"/>
    </font>
    <font>
      <name val="Arial"/>
      <b val="1"/>
      <color rgb="006D28D9"/>
      <sz val="16"/>
    </font>
    <font>
      <name val="Arial"/>
      <i val="1"/>
      <color rgb="006B7280"/>
      <sz val="10"/>
    </font>
    <font>
      <name val="Arial"/>
      <sz val="10"/>
    </font>
    <font>
      <name val="Arial"/>
      <color rgb="001A1A1A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6D28D9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164" fontId="13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4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/>
    </xf>
    <xf numFmtId="164" fontId="3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TCDF / ANACE 2026 — acompanhamento por matéria</t>
        </is>
      </c>
    </row>
    <row r="2">
      <c r="A2" s="2" t="inlineStr">
        <is>
          <t>Uma aba por matéria. Nesta folha, tudo é fórmula: os números se atualizam sozinhos conforme você preenche as abas. Meta: 90% bruto.</t>
        </is>
      </c>
    </row>
    <row r="4">
      <c r="A4" s="3" t="inlineStr">
        <is>
          <t>Dia</t>
        </is>
      </c>
      <c r="B4" s="3" t="inlineStr">
        <is>
          <t>Matéria</t>
        </is>
      </c>
      <c r="C4" s="3" t="inlineStr">
        <is>
          <t>Tópicos</t>
        </is>
      </c>
      <c r="D4" s="3" t="inlineStr">
        <is>
          <t>Itens do edital</t>
        </is>
      </c>
      <c r="E4" s="3" t="inlineStr">
        <is>
          <t>Filtros vencidos</t>
        </is>
      </c>
      <c r="F4" s="3" t="inlineStr">
        <is>
          <t>Lotes registrados</t>
        </is>
      </c>
      <c r="G4" s="3" t="inlineStr">
        <is>
          <t>Melhor % bruto</t>
        </is>
      </c>
      <c r="H4" s="3" t="inlineStr">
        <is>
          <t>Último % bruto</t>
        </is>
      </c>
    </row>
    <row r="5">
      <c r="A5" s="4" t="inlineStr">
        <is>
          <t>Segunda-feira</t>
        </is>
      </c>
      <c r="B5" s="5" t="inlineStr">
        <is>
          <t>Administração Financeira e Orçamentária</t>
        </is>
      </c>
      <c r="C5" s="4" t="n">
        <v>9</v>
      </c>
      <c r="D5" s="4" t="n">
        <v>15</v>
      </c>
      <c r="E5" s="4">
        <f>COUNTIF('AFO'!E5:L5,"S")</f>
        <v/>
      </c>
      <c r="F5" s="4">
        <f>COUNT('AFO'!C49:C68)</f>
        <v/>
      </c>
      <c r="G5" s="6">
        <f>IFERROR(MAX('AFO'!F49:F68),"")</f>
        <v/>
      </c>
      <c r="H5" s="6">
        <f>IFERROR(INDEX('AFO'!F49:F68,COUNT('AFO'!C49:C68)),"")</f>
        <v/>
      </c>
    </row>
    <row r="6">
      <c r="A6" s="4" t="inlineStr">
        <is>
          <t>Segunda-feira</t>
        </is>
      </c>
      <c r="B6" s="5" t="inlineStr">
        <is>
          <t>Noções de Direito Tributário</t>
        </is>
      </c>
      <c r="C6" s="4" t="n">
        <v>3</v>
      </c>
      <c r="D6" s="4" t="n">
        <v>4</v>
      </c>
      <c r="E6" s="4">
        <f>COUNTIF('D. Tributário'!E5:L5,"S")</f>
        <v/>
      </c>
      <c r="F6" s="4">
        <f>COUNT('D. Tributário'!C29:C48)</f>
        <v/>
      </c>
      <c r="G6" s="6">
        <f>IFERROR(MAX('D. Tributário'!F29:F48),"")</f>
        <v/>
      </c>
      <c r="H6" s="6">
        <f>IFERROR(INDEX('D. Tributário'!F29:F48,COUNT('D. Tributário'!C29:C48)),"")</f>
        <v/>
      </c>
    </row>
    <row r="7">
      <c r="A7" s="4" t="inlineStr">
        <is>
          <t>Terça-feira</t>
        </is>
      </c>
      <c r="B7" s="5" t="inlineStr">
        <is>
          <t>Direito Administrativo</t>
        </is>
      </c>
      <c r="C7" s="4" t="n">
        <v>14</v>
      </c>
      <c r="D7" s="4" t="n">
        <v>25</v>
      </c>
      <c r="E7" s="4">
        <f>COUNTIF('D. Administrativo'!E5:L5,"S")</f>
        <v/>
      </c>
      <c r="F7" s="4">
        <f>COUNT('D. Administrativo'!C68:C87)</f>
        <v/>
      </c>
      <c r="G7" s="6">
        <f>IFERROR(MAX('D. Administrativo'!F68:F87),"")</f>
        <v/>
      </c>
      <c r="H7" s="6">
        <f>IFERROR(INDEX('D. Administrativo'!F68:F87,COUNT('D. Administrativo'!C68:C87)),"")</f>
        <v/>
      </c>
    </row>
    <row r="8">
      <c r="A8" s="4" t="inlineStr">
        <is>
          <t>Terça-feira</t>
        </is>
      </c>
      <c r="B8" s="5" t="inlineStr">
        <is>
          <t>Gestão de Contratos</t>
        </is>
      </c>
      <c r="C8" s="4" t="n">
        <v>2</v>
      </c>
      <c r="D8" s="4" t="n">
        <v>7</v>
      </c>
      <c r="E8" s="4">
        <f>COUNTIF('Gestão de Contratos'!E5:L5,"S")</f>
        <v/>
      </c>
      <c r="F8" s="4">
        <f>COUNT('Gestão de Contratos'!C25:C44)</f>
        <v/>
      </c>
      <c r="G8" s="6">
        <f>IFERROR(MAX('Gestão de Contratos'!F25:F44),"")</f>
        <v/>
      </c>
      <c r="H8" s="6">
        <f>IFERROR(INDEX('Gestão de Contratos'!F25:F44,COUNT('Gestão de Contratos'!C25:C44)),"")</f>
        <v/>
      </c>
    </row>
    <row r="9">
      <c r="A9" s="4" t="inlineStr">
        <is>
          <t>Quarta-feira</t>
        </is>
      </c>
      <c r="B9" s="5" t="inlineStr">
        <is>
          <t>Direito Constitucional</t>
        </is>
      </c>
      <c r="C9" s="4" t="n">
        <v>9</v>
      </c>
      <c r="D9" s="4" t="n">
        <v>12</v>
      </c>
      <c r="E9" s="4">
        <f>COUNTIF('D. Constitucional'!E5:L5,"S")</f>
        <v/>
      </c>
      <c r="F9" s="4">
        <f>COUNT('D. Constitucional'!C40:C59)</f>
        <v/>
      </c>
      <c r="G9" s="6">
        <f>IFERROR(MAX('D. Constitucional'!F40:F59),"")</f>
        <v/>
      </c>
      <c r="H9" s="6">
        <f>IFERROR(INDEX('D. Constitucional'!F40:F59,COUNT('D. Constitucional'!C40:C59)),"")</f>
        <v/>
      </c>
    </row>
    <row r="10">
      <c r="A10" s="4" t="inlineStr">
        <is>
          <t>Quarta-feira</t>
        </is>
      </c>
      <c r="B10" s="5" t="inlineStr">
        <is>
          <t>Lei Orgânica do TCDF e Regimento Interno</t>
        </is>
      </c>
      <c r="C10" s="4" t="n">
        <v>2</v>
      </c>
      <c r="D10" s="4" t="n">
        <v>10</v>
      </c>
      <c r="E10" s="4">
        <f>COUNTIF('LO e RI do TCDF'!E5:L5,"S")</f>
        <v/>
      </c>
      <c r="F10" s="4">
        <f>COUNT('LO e RI do TCDF'!C24:C43)</f>
        <v/>
      </c>
      <c r="G10" s="6">
        <f>IFERROR(MAX('LO e RI do TCDF'!F24:F43),"")</f>
        <v/>
      </c>
      <c r="H10" s="6">
        <f>IFERROR(INDEX('LO e RI do TCDF'!F24:F43,COUNT('LO e RI do TCDF'!C24:C43)),"")</f>
        <v/>
      </c>
    </row>
    <row r="11">
      <c r="A11" s="4" t="inlineStr">
        <is>
          <t>Quarta-feira</t>
        </is>
      </c>
      <c r="B11" s="5" t="inlineStr">
        <is>
          <t>Lei Orgânica do Distrito Federal</t>
        </is>
      </c>
      <c r="C11" s="4" t="n">
        <v>5</v>
      </c>
      <c r="D11" s="4" t="n">
        <v>6</v>
      </c>
      <c r="E11" s="4">
        <f>COUNTIF('LODF'!E5:L5,"S")</f>
        <v/>
      </c>
      <c r="F11" s="4">
        <f>COUNT('LODF'!C18:C37)</f>
        <v/>
      </c>
      <c r="G11" s="6">
        <f>IFERROR(MAX('LODF'!F18:F37),"")</f>
        <v/>
      </c>
      <c r="H11" s="6">
        <f>IFERROR(INDEX('LODF'!F18:F37,COUNT('LODF'!C18:C37)),"")</f>
        <v/>
      </c>
    </row>
    <row r="12">
      <c r="A12" s="4" t="inlineStr">
        <is>
          <t>Quinta-feira</t>
        </is>
      </c>
      <c r="B12" s="5" t="inlineStr">
        <is>
          <t>Administração Geral e Pública</t>
        </is>
      </c>
      <c r="C12" s="4" t="n">
        <v>9</v>
      </c>
      <c r="D12" s="4" t="n">
        <v>15</v>
      </c>
      <c r="E12" s="4">
        <f>COUNTIF('Adm. Geral e Pública'!E5:L5,"S")</f>
        <v/>
      </c>
      <c r="F12" s="4">
        <f>COUNT('Adm. Geral e Pública'!C48:C67)</f>
        <v/>
      </c>
      <c r="G12" s="6">
        <f>IFERROR(MAX('Adm. Geral e Pública'!F48:F67),"")</f>
        <v/>
      </c>
      <c r="H12" s="6">
        <f>IFERROR(INDEX('Adm. Geral e Pública'!F48:F67,COUNT('Adm. Geral e Pública'!C48:C67)),"")</f>
        <v/>
      </c>
    </row>
    <row r="13">
      <c r="A13" s="4" t="inlineStr">
        <is>
          <t>Quinta-feira</t>
        </is>
      </c>
      <c r="B13" s="5" t="inlineStr">
        <is>
          <t>Análise de Dados, Noções de Estatística e Inteligência Artificial</t>
        </is>
      </c>
      <c r="C13" s="4" t="n">
        <v>5</v>
      </c>
      <c r="D13" s="4" t="n">
        <v>5</v>
      </c>
      <c r="E13" s="4">
        <f>COUNTIF('Análise de Dados'!E5:L5,"S")</f>
        <v/>
      </c>
      <c r="F13" s="4">
        <f>COUNT('Análise de Dados'!C31:C50)</f>
        <v/>
      </c>
      <c r="G13" s="6">
        <f>IFERROR(MAX('Análise de Dados'!F31:F50),"")</f>
        <v/>
      </c>
      <c r="H13" s="6">
        <f>IFERROR(INDEX('Análise de Dados'!F31:F50,COUNT('Análise de Dados'!C31:C50)),"")</f>
        <v/>
      </c>
    </row>
    <row r="14">
      <c r="A14" s="4" t="inlineStr">
        <is>
          <t>Sexta-feira</t>
        </is>
      </c>
      <c r="B14" s="5" t="inlineStr">
        <is>
          <t>Regime Jurídico dos Servidores Públicos Civis do DF (LC 840/2011)</t>
        </is>
      </c>
      <c r="C14" s="4" t="n">
        <v>1</v>
      </c>
      <c r="D14" s="4" t="n">
        <v>8</v>
      </c>
      <c r="E14" s="4">
        <f>COUNTIF('LC 840 Servidores'!E5:L5,"S")</f>
        <v/>
      </c>
      <c r="F14" s="4">
        <f>COUNT('LC 840 Servidores'!C21:C40)</f>
        <v/>
      </c>
      <c r="G14" s="6">
        <f>IFERROR(MAX('LC 840 Servidores'!F21:F40),"")</f>
        <v/>
      </c>
      <c r="H14" s="6">
        <f>IFERROR(INDEX('LC 840 Servidores'!F21:F40,COUNT('LC 840 Servidores'!C21:C40)),"")</f>
        <v/>
      </c>
    </row>
    <row r="15">
      <c r="A15" s="4" t="inlineStr">
        <is>
          <t>Sexta-feira</t>
        </is>
      </c>
      <c r="B15" s="5" t="inlineStr">
        <is>
          <t>Direito Previdenciário</t>
        </is>
      </c>
      <c r="C15" s="4" t="n">
        <v>5</v>
      </c>
      <c r="D15" s="4" t="n">
        <v>8</v>
      </c>
      <c r="E15" s="4">
        <f>COUNTIF('D. Previdenciário'!E5:L5,"S")</f>
        <v/>
      </c>
      <c r="F15" s="4">
        <f>COUNT('D. Previdenciário'!C20:C39)</f>
        <v/>
      </c>
      <c r="G15" s="6">
        <f>IFERROR(MAX('D. Previdenciário'!F20:F39),"")</f>
        <v/>
      </c>
      <c r="H15" s="6">
        <f>IFERROR(INDEX('D. Previdenciário'!F20:F39,COUNT('D. Previdenciário'!C20:C39)),"")</f>
        <v/>
      </c>
    </row>
    <row r="16">
      <c r="A16" s="4" t="inlineStr">
        <is>
          <t>Sexta-feira</t>
        </is>
      </c>
      <c r="B16" s="5" t="inlineStr">
        <is>
          <t>Noções de Direito Civil</t>
        </is>
      </c>
      <c r="C16" s="4" t="n">
        <v>6</v>
      </c>
      <c r="D16" s="4" t="n">
        <v>6</v>
      </c>
      <c r="E16" s="4">
        <f>COUNTIF('D. Civil'!E5:L5,"S")</f>
        <v/>
      </c>
      <c r="F16" s="4">
        <f>COUNT('D. Civil'!C23:C42)</f>
        <v/>
      </c>
      <c r="G16" s="6">
        <f>IFERROR(MAX('D. Civil'!F23:F42),"")</f>
        <v/>
      </c>
      <c r="H16" s="6">
        <f>IFERROR(INDEX('D. Civil'!F23:F42,COUNT('D. Civil'!C23:C42)),"")</f>
        <v/>
      </c>
    </row>
    <row r="17">
      <c r="A17" s="4" t="inlineStr">
        <is>
          <t>Sábado</t>
        </is>
      </c>
      <c r="B17" s="5" t="inlineStr">
        <is>
          <t>Língua Portuguesa</t>
        </is>
      </c>
      <c r="C17" s="4" t="n">
        <v>6</v>
      </c>
      <c r="D17" s="4" t="n">
        <v>12</v>
      </c>
      <c r="E17" s="4">
        <f>COUNTIF('Português'!E5:L5,"S")</f>
        <v/>
      </c>
      <c r="F17" s="4">
        <f>COUNT('Português'!C33:C52)</f>
        <v/>
      </c>
      <c r="G17" s="6">
        <f>IFERROR(MAX('Português'!F33:F52),"")</f>
        <v/>
      </c>
      <c r="H17" s="6">
        <f>IFERROR(INDEX('Português'!F33:F52,COUNT('Português'!C33:C52)),"")</f>
        <v/>
      </c>
    </row>
    <row r="18">
      <c r="A18" s="4" t="inlineStr">
        <is>
          <t>Sábado</t>
        </is>
      </c>
      <c r="B18" s="5" t="inlineStr">
        <is>
          <t>Raciocínio Lógico e Matemática Financeira</t>
        </is>
      </c>
      <c r="C18" s="4" t="n">
        <v>7</v>
      </c>
      <c r="D18" s="4" t="n">
        <v>10</v>
      </c>
      <c r="E18" s="4">
        <f>COUNTIF('RLM'!E5:L5,"S")</f>
        <v/>
      </c>
      <c r="F18" s="4">
        <f>COUNT('RLM'!C27:C46)</f>
        <v/>
      </c>
      <c r="G18" s="6">
        <f>IFERROR(MAX('RLM'!F27:F46),"")</f>
        <v/>
      </c>
      <c r="H18" s="6">
        <f>IFERROR(INDEX('RLM'!F27:F46,COUNT('RLM'!C27:C46)),"")</f>
        <v/>
      </c>
    </row>
    <row r="19">
      <c r="A19" s="4" t="inlineStr">
        <is>
          <t>Sábado</t>
        </is>
      </c>
      <c r="B19" s="5" t="inlineStr">
        <is>
          <t>Conhecimentos do Distrito Federal e Política para Mulheres</t>
        </is>
      </c>
      <c r="C19" s="4" t="n">
        <v>3</v>
      </c>
      <c r="D19" s="4" t="n">
        <v>4</v>
      </c>
      <c r="E19" s="4">
        <f>COUNTIF('DF e Mulheres'!E5:L5,"S")</f>
        <v/>
      </c>
      <c r="F19" s="4">
        <f>COUNT('DF e Mulheres'!C16:C35)</f>
        <v/>
      </c>
      <c r="G19" s="6">
        <f>IFERROR(MAX('DF e Mulheres'!F16:F35),"")</f>
        <v/>
      </c>
      <c r="H19" s="6">
        <f>IFERROR(INDEX('DF e Mulheres'!F16:F35,COUNT('DF e Mulheres'!C16:C35)),"")</f>
        <v/>
      </c>
    </row>
    <row r="20">
      <c r="A20" s="4" t="inlineStr">
        <is>
          <t>Sábado</t>
        </is>
      </c>
      <c r="B20" s="5" t="inlineStr">
        <is>
          <t>Noções de Primeiros Socorros</t>
        </is>
      </c>
      <c r="C20" s="4" t="n">
        <v>1</v>
      </c>
      <c r="D20" s="4" t="n">
        <v>3</v>
      </c>
      <c r="E20" s="4">
        <f>COUNTIF('Primeiros Socorros'!E5:L5,"S")</f>
        <v/>
      </c>
      <c r="F20" s="4">
        <f>COUNT('Primeiros Socorros'!C23:C42)</f>
        <v/>
      </c>
      <c r="G20" s="6">
        <f>IFERROR(MAX('Primeiros Socorros'!F23:F42),"")</f>
        <v/>
      </c>
      <c r="H20" s="6">
        <f>IFERROR(INDEX('Primeiros Socorros'!F23:F42,COUNT('Primeiros Socorros'!C23:C42)),"")</f>
        <v/>
      </c>
    </row>
    <row r="21">
      <c r="A21" s="7" t="n"/>
      <c r="B21" s="8" t="inlineStr">
        <is>
          <t>TOTAL</t>
        </is>
      </c>
      <c r="C21" s="7">
        <f>SUM(C5:C20)</f>
        <v/>
      </c>
      <c r="D21" s="7">
        <f>SUM(D5:D20)</f>
        <v/>
      </c>
      <c r="E21" s="7">
        <f>SUM(E5:E20)</f>
        <v/>
      </c>
      <c r="F21" s="7">
        <f>SUM(F5:F20)</f>
        <v/>
      </c>
      <c r="G21" s="7" t="n"/>
      <c r="H21" s="7" t="n"/>
    </row>
    <row r="23">
      <c r="A23" s="9" t="inlineStr">
        <is>
          <t>COMO USAR</t>
        </is>
      </c>
    </row>
    <row r="24">
      <c r="A24" s="10" t="inlineStr">
        <is>
          <t>1. Na aba da matéria, escreva na linha 4 o nome de cada filtro que você montar no Gran (F1 a F8).</t>
        </is>
      </c>
    </row>
    <row r="25">
      <c r="A25" s="10" t="inlineStr">
        <is>
          <t>2. Marque X na coluna do filtro, na linha de cada tópico e subtópico que ele sorteia.</t>
        </is>
      </c>
    </row>
    <row r="26">
      <c r="A26" s="10" t="inlineStr">
        <is>
          <t>3. Resolveu um lote? Lance filtro, data, total, acertos e erros no bloco de baixo. As colunas % Bruto, % Líquido e Veredito são fórmulas — não digite nada nelas.</t>
        </is>
      </c>
    </row>
    <row r="27">
      <c r="A27" s="10" t="inlineStr">
        <is>
          <t>4. Filtro que bateu 90%: escreva S na linha 5 e jogue o filtro dentro do GERAL N2, o filtro único da matéria vencida, de onde saem os simulados de grupo e as revisões.</t>
        </is>
      </c>
    </row>
    <row r="28">
      <c r="A28" s="10" t="inlineStr">
        <is>
          <t>5. Tópico vencido (18/20 sobre a ementa inteira dele): marque X na coluna GERAL N2.</t>
        </is>
      </c>
    </row>
    <row r="29">
      <c r="A29" s="10" t="inlineStr"/>
    </row>
    <row r="30">
      <c r="A30" s="11" t="inlineStr">
        <is>
          <t>Células amarelas são suas. O resto é fórmula ou vem do edital.</t>
        </is>
      </c>
    </row>
    <row r="31">
      <c r="A31" s="11" t="inlineStr">
        <is>
          <t>Bruto = acertos ÷ total, é ele que decide o avanço. Líquido = (acertos − erros) ÷ total, é a régua da prova, onde cada erro anula um acerto. Branco conta como erro.</t>
        </is>
      </c>
    </row>
  </sheetData>
  <mergeCells count="9">
    <mergeCell ref="A26:H26"/>
    <mergeCell ref="A30:H30"/>
    <mergeCell ref="A29:H29"/>
    <mergeCell ref="A25:H25"/>
    <mergeCell ref="A24:H24"/>
    <mergeCell ref="A2:H2"/>
    <mergeCell ref="A28:H28"/>
    <mergeCell ref="A27:H27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M6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Administração Financeira e Orçamentária</t>
        </is>
      </c>
      <c r="E1" s="11" t="inlineStr">
        <is>
          <t>Bloco P3 · Segunda-feira · 9 tópicos · 15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Orçamento público</t>
        </is>
      </c>
      <c r="C8" s="7" t="n">
        <v>1</v>
      </c>
      <c r="D8" s="7" t="inlineStr">
        <is>
          <t>1, 3, 6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conceito</t>
        </is>
      </c>
      <c r="C9" s="20" t="n"/>
      <c r="D9" s="22" t="inlineStr">
        <is>
          <t>1</t>
        </is>
      </c>
    </row>
    <row r="10">
      <c r="A10" s="20" t="n"/>
      <c r="B10" s="21" t="inlineStr">
        <is>
          <t xml:space="preserve">    1.2 técnicas orçamentárias</t>
        </is>
      </c>
      <c r="C10" s="20" t="n"/>
      <c r="D10" s="22" t="inlineStr">
        <is>
          <t>1</t>
        </is>
      </c>
    </row>
    <row r="11">
      <c r="A11" s="20" t="n"/>
      <c r="B11" s="21" t="inlineStr">
        <is>
          <t xml:space="preserve">    1.3 princípios orçamentários</t>
        </is>
      </c>
      <c r="C11" s="20" t="n"/>
      <c r="D11" s="22" t="inlineStr">
        <is>
          <t>6</t>
        </is>
      </c>
    </row>
    <row r="12">
      <c r="A12" s="20" t="n"/>
      <c r="B12" s="21" t="inlineStr">
        <is>
          <t xml:space="preserve">    1.4 ciclo orçamentário</t>
        </is>
      </c>
      <c r="C12" s="20" t="n"/>
      <c r="D12" s="22" t="inlineStr">
        <is>
          <t>3</t>
        </is>
      </c>
    </row>
    <row r="13">
      <c r="A13" s="20" t="n"/>
      <c r="B13" s="21" t="inlineStr">
        <is>
          <t xml:space="preserve">    1.5 processo orçamentário</t>
        </is>
      </c>
      <c r="C13" s="20" t="n"/>
      <c r="D13" s="22" t="inlineStr">
        <is>
          <t>3</t>
        </is>
      </c>
    </row>
    <row r="14">
      <c r="A14" s="7" t="inlineStr">
        <is>
          <t>2</t>
        </is>
      </c>
      <c r="B14" s="17" t="inlineStr">
        <is>
          <t>Orçamento público no Brasil</t>
        </is>
      </c>
      <c r="C14" s="7" t="n">
        <v>2</v>
      </c>
      <c r="D14" s="7" t="inlineStr">
        <is>
          <t>2, 4, 5, 8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</row>
    <row r="15">
      <c r="A15" s="20" t="n"/>
      <c r="B15" s="21" t="inlineStr">
        <is>
          <t xml:space="preserve">    2.1 sistema de planejamento e de orçamento federal</t>
        </is>
      </c>
      <c r="C15" s="20" t="n"/>
      <c r="D15" s="22" t="inlineStr">
        <is>
          <t>4</t>
        </is>
      </c>
    </row>
    <row r="16">
      <c r="A16" s="20" t="n"/>
      <c r="B16" s="21" t="inlineStr">
        <is>
          <t xml:space="preserve">    2.2 plano plurianual</t>
        </is>
      </c>
      <c r="C16" s="20" t="n"/>
      <c r="D16" s="22" t="inlineStr">
        <is>
          <t>2</t>
        </is>
      </c>
    </row>
    <row r="17">
      <c r="A17" s="20" t="n"/>
      <c r="B17" s="21" t="inlineStr">
        <is>
          <t xml:space="preserve">    2.3 diretrizes orçamentárias</t>
        </is>
      </c>
      <c r="C17" s="20" t="n"/>
      <c r="D17" s="22" t="inlineStr">
        <is>
          <t>2</t>
        </is>
      </c>
    </row>
    <row r="18">
      <c r="A18" s="20" t="n"/>
      <c r="B18" s="21" t="inlineStr">
        <is>
          <t xml:space="preserve">    2.4 orçamento anual</t>
        </is>
      </c>
      <c r="C18" s="20" t="n"/>
      <c r="D18" s="22" t="inlineStr">
        <is>
          <t>2</t>
        </is>
      </c>
    </row>
    <row r="19">
      <c r="A19" s="20" t="n"/>
      <c r="B19" s="21" t="inlineStr">
        <is>
          <t xml:space="preserve">    2.5 sistema e processo de orçamentação</t>
        </is>
      </c>
      <c r="C19" s="20" t="n"/>
      <c r="D19" s="22" t="inlineStr">
        <is>
          <t>4</t>
        </is>
      </c>
    </row>
    <row r="20">
      <c r="A20" s="20" t="n"/>
      <c r="B20" s="21" t="inlineStr">
        <is>
          <t xml:space="preserve">    2.6 classificações orçamentárias</t>
        </is>
      </c>
      <c r="C20" s="20" t="n"/>
      <c r="D20" s="22" t="inlineStr">
        <is>
          <t>8</t>
        </is>
      </c>
    </row>
    <row r="21">
      <c r="A21" s="20" t="n"/>
      <c r="B21" s="21" t="inlineStr">
        <is>
          <t xml:space="preserve">    2.7 estrutura programática</t>
        </is>
      </c>
      <c r="C21" s="20" t="n"/>
      <c r="D21" s="22" t="inlineStr">
        <is>
          <t>8</t>
        </is>
      </c>
    </row>
    <row r="22">
      <c r="A22" s="20" t="n"/>
      <c r="B22" s="21" t="inlineStr">
        <is>
          <t xml:space="preserve">    2.8 créditos ordinários e adicionais</t>
        </is>
      </c>
      <c r="C22" s="20" t="n"/>
      <c r="D22" s="22" t="inlineStr">
        <is>
          <t>5</t>
        </is>
      </c>
    </row>
    <row r="23">
      <c r="A23" s="7" t="inlineStr">
        <is>
          <t>3</t>
        </is>
      </c>
      <c r="B23" s="17" t="inlineStr">
        <is>
          <t>Programação e execução orçamentária e financeira</t>
        </is>
      </c>
      <c r="C23" s="7" t="n">
        <v>2</v>
      </c>
      <c r="D23" s="7" t="inlineStr">
        <is>
          <t>9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9" t="n"/>
    </row>
    <row r="24">
      <c r="A24" s="20" t="n"/>
      <c r="B24" s="21" t="inlineStr">
        <is>
          <t xml:space="preserve">    3.1 descentralização orçamentária e financeira</t>
        </is>
      </c>
      <c r="C24" s="20" t="n"/>
      <c r="D24" s="22" t="inlineStr">
        <is>
          <t>9</t>
        </is>
      </c>
    </row>
    <row r="25">
      <c r="A25" s="20" t="n"/>
      <c r="B25" s="21" t="inlineStr">
        <is>
          <t xml:space="preserve">    3.2 acompanhamento da execução</t>
        </is>
      </c>
      <c r="C25" s="20" t="n"/>
      <c r="D25" s="22" t="inlineStr">
        <is>
          <t>9</t>
        </is>
      </c>
    </row>
    <row r="26">
      <c r="A26" s="20" t="n"/>
      <c r="B26" s="21" t="inlineStr">
        <is>
          <t xml:space="preserve">    3.3 sistemas de informações</t>
        </is>
      </c>
      <c r="C26" s="20" t="n"/>
      <c r="D26" s="22" t="inlineStr">
        <is>
          <t>9</t>
        </is>
      </c>
    </row>
    <row r="27">
      <c r="A27" s="20" t="n"/>
      <c r="B27" s="21" t="inlineStr">
        <is>
          <t xml:space="preserve">    3.4 alterações orçamentárias</t>
        </is>
      </c>
      <c r="C27" s="20" t="n"/>
      <c r="D27" s="22" t="inlineStr">
        <is>
          <t>9</t>
        </is>
      </c>
    </row>
    <row r="28">
      <c r="A28" s="7" t="inlineStr">
        <is>
          <t>4</t>
        </is>
      </c>
      <c r="B28" s="17" t="inlineStr">
        <is>
          <t>Receita pública</t>
        </is>
      </c>
      <c r="C28" s="7" t="n">
        <v>2</v>
      </c>
      <c r="D28" s="7" t="inlineStr">
        <is>
          <t>7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9" t="n"/>
    </row>
    <row r="29">
      <c r="A29" s="20" t="n"/>
      <c r="B29" s="21" t="inlineStr">
        <is>
          <t xml:space="preserve">    4.1 conceito e classificações</t>
        </is>
      </c>
      <c r="C29" s="20" t="n"/>
      <c r="D29" s="22" t="inlineStr">
        <is>
          <t>7</t>
        </is>
      </c>
    </row>
    <row r="30">
      <c r="A30" s="20" t="n"/>
      <c r="B30" s="21" t="inlineStr">
        <is>
          <t xml:space="preserve">    4.2 estágios</t>
        </is>
      </c>
      <c r="C30" s="20" t="n"/>
      <c r="D30" s="22" t="inlineStr">
        <is>
          <t>7</t>
        </is>
      </c>
    </row>
    <row r="31">
      <c r="A31" s="20" t="n"/>
      <c r="B31" s="21" t="inlineStr">
        <is>
          <t xml:space="preserve">    4.3 fontes</t>
        </is>
      </c>
      <c r="C31" s="20" t="n"/>
      <c r="D31" s="22" t="inlineStr">
        <is>
          <t>7</t>
        </is>
      </c>
    </row>
    <row r="32">
      <c r="A32" s="20" t="n"/>
      <c r="B32" s="21" t="inlineStr">
        <is>
          <t xml:space="preserve">    4.4 dívida ativa</t>
        </is>
      </c>
      <c r="C32" s="20" t="n"/>
      <c r="D32" s="22" t="inlineStr">
        <is>
          <t>7</t>
        </is>
      </c>
    </row>
    <row r="33">
      <c r="A33" s="7" t="inlineStr">
        <is>
          <t>5</t>
        </is>
      </c>
      <c r="B33" s="17" t="inlineStr">
        <is>
          <t>Despesa pública</t>
        </is>
      </c>
      <c r="C33" s="7" t="n">
        <v>2</v>
      </c>
      <c r="D33" s="7" t="inlineStr">
        <is>
          <t>8, 10</t>
        </is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9" t="n"/>
    </row>
    <row r="34">
      <c r="A34" s="20" t="n"/>
      <c r="B34" s="21" t="inlineStr">
        <is>
          <t xml:space="preserve">    5.1 conceito e classificações</t>
        </is>
      </c>
      <c r="C34" s="20" t="n"/>
      <c r="D34" s="22" t="inlineStr">
        <is>
          <t>8</t>
        </is>
      </c>
    </row>
    <row r="35">
      <c r="A35" s="20" t="n"/>
      <c r="B35" s="21" t="inlineStr">
        <is>
          <t xml:space="preserve">    5.2 estágios</t>
        </is>
      </c>
      <c r="C35" s="20" t="n"/>
      <c r="D35" s="22" t="inlineStr">
        <is>
          <t>8</t>
        </is>
      </c>
    </row>
    <row r="36">
      <c r="A36" s="20" t="n"/>
      <c r="B36" s="21" t="inlineStr">
        <is>
          <t xml:space="preserve">    5.3 restos a pagar</t>
        </is>
      </c>
      <c r="C36" s="20" t="n"/>
      <c r="D36" s="22" t="inlineStr">
        <is>
          <t>8</t>
        </is>
      </c>
    </row>
    <row r="37">
      <c r="A37" s="20" t="n"/>
      <c r="B37" s="21" t="inlineStr">
        <is>
          <t xml:space="preserve">    5.4 despesas de exercícios anteriores</t>
        </is>
      </c>
      <c r="C37" s="20" t="n"/>
      <c r="D37" s="22" t="inlineStr">
        <is>
          <t>8</t>
        </is>
      </c>
    </row>
    <row r="38">
      <c r="A38" s="20" t="n"/>
      <c r="B38" s="21" t="inlineStr">
        <is>
          <t xml:space="preserve">    5.5 dívida flutuante e fundada</t>
        </is>
      </c>
      <c r="C38" s="20" t="n"/>
      <c r="D38" s="22" t="inlineStr">
        <is>
          <t>8, 10</t>
        </is>
      </c>
    </row>
    <row r="39">
      <c r="A39" s="20" t="n"/>
      <c r="B39" s="21" t="inlineStr">
        <is>
          <t xml:space="preserve">    5.6 suprimento de fundos</t>
        </is>
      </c>
      <c r="C39" s="20" t="n"/>
      <c r="D39" s="22" t="inlineStr">
        <is>
          <t>8</t>
        </is>
      </c>
    </row>
    <row r="40">
      <c r="A40" s="7" t="inlineStr">
        <is>
          <t>6</t>
        </is>
      </c>
      <c r="B40" s="17" t="inlineStr">
        <is>
          <t>Lei Complementar nº 101/2000 e suas alterações (Lei de Responsabilidade Fiscal)</t>
        </is>
      </c>
      <c r="C40" s="7" t="n">
        <v>3</v>
      </c>
      <c r="D40" s="7" t="inlineStr">
        <is>
          <t>10</t>
        </is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9" t="n"/>
    </row>
    <row r="41">
      <c r="A41" s="7" t="inlineStr">
        <is>
          <t>7</t>
        </is>
      </c>
      <c r="B41" s="17" t="inlineStr">
        <is>
          <t>Lei nº 4.320/1964 e suas alterações</t>
        </is>
      </c>
      <c r="C41" s="7" t="n">
        <v>1</v>
      </c>
      <c r="D41" s="7" t="inlineStr">
        <is>
          <t>8</t>
        </is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9" t="n"/>
    </row>
    <row r="42">
      <c r="A42" s="7" t="inlineStr">
        <is>
          <t>8</t>
        </is>
      </c>
      <c r="B42" s="17" t="inlineStr">
        <is>
          <t>Transferências voluntárias</t>
        </is>
      </c>
      <c r="C42" s="7" t="n">
        <v>1</v>
      </c>
      <c r="D42" s="7" t="inlineStr">
        <is>
          <t>10</t>
        </is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9" t="n"/>
    </row>
    <row r="43">
      <c r="A43" s="7" t="inlineStr">
        <is>
          <t>9</t>
        </is>
      </c>
      <c r="B43" s="17" t="inlineStr">
        <is>
          <t>Decreto distrital nº 32.598/2010 (normas de planejamento, orçamento, finanças, patrimônio e contabilidade do Distrito Federal)</t>
        </is>
      </c>
      <c r="C43" s="7" t="n">
        <v>1</v>
      </c>
      <c r="D43" s="7" t="inlineStr">
        <is>
          <t>11</t>
        </is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9" t="n"/>
    </row>
    <row r="46">
      <c r="A46" s="9" t="inlineStr">
        <is>
          <t>REGISTRO DOS SIMULADOS DESTA MATÉRIA</t>
        </is>
      </c>
    </row>
    <row r="47">
      <c r="A47" s="3" t="inlineStr">
        <is>
          <t>Filtro</t>
        </is>
      </c>
      <c r="B47" s="3" t="inlineStr">
        <is>
          <t>Data</t>
        </is>
      </c>
      <c r="C47" s="3" t="inlineStr">
        <is>
          <t>Total</t>
        </is>
      </c>
      <c r="D47" s="3" t="inlineStr">
        <is>
          <t>Acertos</t>
        </is>
      </c>
      <c r="E47" s="3" t="inlineStr">
        <is>
          <t>Erros</t>
        </is>
      </c>
      <c r="F47" s="3" t="inlineStr">
        <is>
          <t>% Bruto</t>
        </is>
      </c>
      <c r="G47" s="3" t="inlineStr">
        <is>
          <t>% Líquido</t>
        </is>
      </c>
      <c r="H47" s="3" t="inlineStr">
        <is>
          <t>Veredito</t>
        </is>
      </c>
    </row>
    <row r="48">
      <c r="A48" s="13" t="inlineStr">
        <is>
          <t>exemplo — apague ou ignore</t>
        </is>
      </c>
      <c r="B48" s="13" t="inlineStr">
        <is>
          <t>15/09/2026</t>
        </is>
      </c>
      <c r="C48" s="13" t="n">
        <v>20</v>
      </c>
      <c r="D48" s="13" t="n">
        <v>18</v>
      </c>
      <c r="E48" s="13" t="n">
        <v>2</v>
      </c>
      <c r="F48" s="23">
        <f>IFERROR(D48/C48,"")</f>
        <v/>
      </c>
      <c r="G48" s="23">
        <f>IFERROR((D48-E48)/C48,"")</f>
        <v/>
      </c>
      <c r="H48" s="13">
        <f>IF(N(C48)=0,"",IF(D48/C48&gt;=0.9,"VENCEU","REPETE"))</f>
        <v/>
      </c>
    </row>
    <row r="49">
      <c r="A49" s="19" t="n"/>
      <c r="B49" s="19" t="n"/>
      <c r="C49" s="19" t="n"/>
      <c r="D49" s="19" t="n"/>
      <c r="E49" s="19" t="n"/>
      <c r="F49" s="24">
        <f>IFERROR(D49/C49,"")</f>
        <v/>
      </c>
      <c r="G49" s="24">
        <f>IFERROR((D49-E49)/C49,"")</f>
        <v/>
      </c>
      <c r="H49" s="20">
        <f>IF(N(C49)=0,"",IF(D49/C49&gt;=0.9,"VENCEU","REPETE"))</f>
        <v/>
      </c>
    </row>
    <row r="50">
      <c r="A50" s="19" t="n"/>
      <c r="B50" s="19" t="n"/>
      <c r="C50" s="19" t="n"/>
      <c r="D50" s="19" t="n"/>
      <c r="E50" s="19" t="n"/>
      <c r="F50" s="24">
        <f>IFERROR(D50/C50,"")</f>
        <v/>
      </c>
      <c r="G50" s="24">
        <f>IFERROR((D50-E50)/C50,"")</f>
        <v/>
      </c>
      <c r="H50" s="20">
        <f>IF(N(C50)=0,"",IF(D50/C50&gt;=0.9,"VENCEU","REPETE"))</f>
        <v/>
      </c>
    </row>
    <row r="51">
      <c r="A51" s="19" t="n"/>
      <c r="B51" s="19" t="n"/>
      <c r="C51" s="19" t="n"/>
      <c r="D51" s="19" t="n"/>
      <c r="E51" s="19" t="n"/>
      <c r="F51" s="24">
        <f>IFERROR(D51/C51,"")</f>
        <v/>
      </c>
      <c r="G51" s="24">
        <f>IFERROR((D51-E51)/C51,"")</f>
        <v/>
      </c>
      <c r="H51" s="20">
        <f>IF(N(C51)=0,"",IF(D51/C51&gt;=0.9,"VENCEU","REPETE"))</f>
        <v/>
      </c>
    </row>
    <row r="52">
      <c r="A52" s="19" t="n"/>
      <c r="B52" s="19" t="n"/>
      <c r="C52" s="19" t="n"/>
      <c r="D52" s="19" t="n"/>
      <c r="E52" s="19" t="n"/>
      <c r="F52" s="24">
        <f>IFERROR(D52/C52,"")</f>
        <v/>
      </c>
      <c r="G52" s="24">
        <f>IFERROR((D52-E52)/C52,"")</f>
        <v/>
      </c>
      <c r="H52" s="20">
        <f>IF(N(C52)=0,"",IF(D52/C52&gt;=0.9,"VENCEU","REPETE"))</f>
        <v/>
      </c>
    </row>
    <row r="53">
      <c r="A53" s="19" t="n"/>
      <c r="B53" s="19" t="n"/>
      <c r="C53" s="19" t="n"/>
      <c r="D53" s="19" t="n"/>
      <c r="E53" s="19" t="n"/>
      <c r="F53" s="24">
        <f>IFERROR(D53/C53,"")</f>
        <v/>
      </c>
      <c r="G53" s="24">
        <f>IFERROR((D53-E53)/C53,"")</f>
        <v/>
      </c>
      <c r="H53" s="20">
        <f>IF(N(C53)=0,"",IF(D53/C53&gt;=0.9,"VENCEU","REPETE"))</f>
        <v/>
      </c>
    </row>
    <row r="54">
      <c r="A54" s="19" t="n"/>
      <c r="B54" s="19" t="n"/>
      <c r="C54" s="19" t="n"/>
      <c r="D54" s="19" t="n"/>
      <c r="E54" s="19" t="n"/>
      <c r="F54" s="24">
        <f>IFERROR(D54/C54,"")</f>
        <v/>
      </c>
      <c r="G54" s="24">
        <f>IFERROR((D54-E54)/C54,"")</f>
        <v/>
      </c>
      <c r="H54" s="20">
        <f>IF(N(C54)=0,"",IF(D54/C54&gt;=0.9,"VENCEU","REPETE"))</f>
        <v/>
      </c>
    </row>
    <row r="55">
      <c r="A55" s="19" t="n"/>
      <c r="B55" s="19" t="n"/>
      <c r="C55" s="19" t="n"/>
      <c r="D55" s="19" t="n"/>
      <c r="E55" s="19" t="n"/>
      <c r="F55" s="24">
        <f>IFERROR(D55/C55,"")</f>
        <v/>
      </c>
      <c r="G55" s="24">
        <f>IFERROR((D55-E55)/C55,"")</f>
        <v/>
      </c>
      <c r="H55" s="20">
        <f>IF(N(C55)=0,"",IF(D55/C55&gt;=0.9,"VENCEU","REPETE"))</f>
        <v/>
      </c>
    </row>
    <row r="56">
      <c r="A56" s="19" t="n"/>
      <c r="B56" s="19" t="n"/>
      <c r="C56" s="19" t="n"/>
      <c r="D56" s="19" t="n"/>
      <c r="E56" s="19" t="n"/>
      <c r="F56" s="24">
        <f>IFERROR(D56/C56,"")</f>
        <v/>
      </c>
      <c r="G56" s="24">
        <f>IFERROR((D56-E56)/C56,"")</f>
        <v/>
      </c>
      <c r="H56" s="20">
        <f>IF(N(C56)=0,"",IF(D56/C56&gt;=0.9,"VENCEU","REPETE"))</f>
        <v/>
      </c>
    </row>
    <row r="57">
      <c r="A57" s="19" t="n"/>
      <c r="B57" s="19" t="n"/>
      <c r="C57" s="19" t="n"/>
      <c r="D57" s="19" t="n"/>
      <c r="E57" s="19" t="n"/>
      <c r="F57" s="24">
        <f>IFERROR(D57/C57,"")</f>
        <v/>
      </c>
      <c r="G57" s="24">
        <f>IFERROR((D57-E57)/C57,"")</f>
        <v/>
      </c>
      <c r="H57" s="20">
        <f>IF(N(C57)=0,"",IF(D57/C57&gt;=0.9,"VENCEU","REPETE"))</f>
        <v/>
      </c>
    </row>
    <row r="58">
      <c r="A58" s="19" t="n"/>
      <c r="B58" s="19" t="n"/>
      <c r="C58" s="19" t="n"/>
      <c r="D58" s="19" t="n"/>
      <c r="E58" s="19" t="n"/>
      <c r="F58" s="24">
        <f>IFERROR(D58/C58,"")</f>
        <v/>
      </c>
      <c r="G58" s="24">
        <f>IFERROR((D58-E58)/C58,"")</f>
        <v/>
      </c>
      <c r="H58" s="20">
        <f>IF(N(C58)=0,"",IF(D58/C58&gt;=0.9,"VENCEU","REPETE"))</f>
        <v/>
      </c>
    </row>
    <row r="59">
      <c r="A59" s="19" t="n"/>
      <c r="B59" s="19" t="n"/>
      <c r="C59" s="19" t="n"/>
      <c r="D59" s="19" t="n"/>
      <c r="E59" s="19" t="n"/>
      <c r="F59" s="24">
        <f>IFERROR(D59/C59,"")</f>
        <v/>
      </c>
      <c r="G59" s="24">
        <f>IFERROR((D59-E59)/C59,"")</f>
        <v/>
      </c>
      <c r="H59" s="20">
        <f>IF(N(C59)=0,"",IF(D59/C59&gt;=0.9,"VENCEU","REPETE"))</f>
        <v/>
      </c>
    </row>
    <row r="60">
      <c r="A60" s="19" t="n"/>
      <c r="B60" s="19" t="n"/>
      <c r="C60" s="19" t="n"/>
      <c r="D60" s="19" t="n"/>
      <c r="E60" s="19" t="n"/>
      <c r="F60" s="24">
        <f>IFERROR(D60/C60,"")</f>
        <v/>
      </c>
      <c r="G60" s="24">
        <f>IFERROR((D60-E60)/C60,"")</f>
        <v/>
      </c>
      <c r="H60" s="20">
        <f>IF(N(C60)=0,"",IF(D60/C60&gt;=0.9,"VENCEU","REPETE"))</f>
        <v/>
      </c>
    </row>
    <row r="61">
      <c r="A61" s="19" t="n"/>
      <c r="B61" s="19" t="n"/>
      <c r="C61" s="19" t="n"/>
      <c r="D61" s="19" t="n"/>
      <c r="E61" s="19" t="n"/>
      <c r="F61" s="24">
        <f>IFERROR(D61/C61,"")</f>
        <v/>
      </c>
      <c r="G61" s="24">
        <f>IFERROR((D61-E61)/C61,"")</f>
        <v/>
      </c>
      <c r="H61" s="20">
        <f>IF(N(C61)=0,"",IF(D61/C61&gt;=0.9,"VENCEU","REPETE"))</f>
        <v/>
      </c>
    </row>
    <row r="62">
      <c r="A62" s="19" t="n"/>
      <c r="B62" s="19" t="n"/>
      <c r="C62" s="19" t="n"/>
      <c r="D62" s="19" t="n"/>
      <c r="E62" s="19" t="n"/>
      <c r="F62" s="24">
        <f>IFERROR(D62/C62,"")</f>
        <v/>
      </c>
      <c r="G62" s="24">
        <f>IFERROR((D62-E62)/C62,"")</f>
        <v/>
      </c>
      <c r="H62" s="20">
        <f>IF(N(C62)=0,"",IF(D62/C62&gt;=0.9,"VENCEU","REPETE"))</f>
        <v/>
      </c>
    </row>
    <row r="63">
      <c r="A63" s="19" t="n"/>
      <c r="B63" s="19" t="n"/>
      <c r="C63" s="19" t="n"/>
      <c r="D63" s="19" t="n"/>
      <c r="E63" s="19" t="n"/>
      <c r="F63" s="24">
        <f>IFERROR(D63/C63,"")</f>
        <v/>
      </c>
      <c r="G63" s="24">
        <f>IFERROR((D63-E63)/C63,"")</f>
        <v/>
      </c>
      <c r="H63" s="20">
        <f>IF(N(C63)=0,"",IF(D63/C63&gt;=0.9,"VENCEU","REPETE"))</f>
        <v/>
      </c>
    </row>
    <row r="64">
      <c r="A64" s="19" t="n"/>
      <c r="B64" s="19" t="n"/>
      <c r="C64" s="19" t="n"/>
      <c r="D64" s="19" t="n"/>
      <c r="E64" s="19" t="n"/>
      <c r="F64" s="24">
        <f>IFERROR(D64/C64,"")</f>
        <v/>
      </c>
      <c r="G64" s="24">
        <f>IFERROR((D64-E64)/C64,"")</f>
        <v/>
      </c>
      <c r="H64" s="20">
        <f>IF(N(C64)=0,"",IF(D64/C64&gt;=0.9,"VENCEU","REPETE"))</f>
        <v/>
      </c>
    </row>
    <row r="65">
      <c r="A65" s="19" t="n"/>
      <c r="B65" s="19" t="n"/>
      <c r="C65" s="19" t="n"/>
      <c r="D65" s="19" t="n"/>
      <c r="E65" s="19" t="n"/>
      <c r="F65" s="24">
        <f>IFERROR(D65/C65,"")</f>
        <v/>
      </c>
      <c r="G65" s="24">
        <f>IFERROR((D65-E65)/C65,"")</f>
        <v/>
      </c>
      <c r="H65" s="20">
        <f>IF(N(C65)=0,"",IF(D65/C65&gt;=0.9,"VENCEU","REPETE"))</f>
        <v/>
      </c>
    </row>
    <row r="66">
      <c r="A66" s="19" t="n"/>
      <c r="B66" s="19" t="n"/>
      <c r="C66" s="19" t="n"/>
      <c r="D66" s="19" t="n"/>
      <c r="E66" s="19" t="n"/>
      <c r="F66" s="24">
        <f>IFERROR(D66/C66,"")</f>
        <v/>
      </c>
      <c r="G66" s="24">
        <f>IFERROR((D66-E66)/C66,"")</f>
        <v/>
      </c>
      <c r="H66" s="20">
        <f>IF(N(C66)=0,"",IF(D66/C66&gt;=0.9,"VENCEU","REPETE"))</f>
        <v/>
      </c>
    </row>
    <row r="67">
      <c r="A67" s="19" t="n"/>
      <c r="B67" s="19" t="n"/>
      <c r="C67" s="19" t="n"/>
      <c r="D67" s="19" t="n"/>
      <c r="E67" s="19" t="n"/>
      <c r="F67" s="24">
        <f>IFERROR(D67/C67,"")</f>
        <v/>
      </c>
      <c r="G67" s="24">
        <f>IFERROR((D67-E67)/C67,"")</f>
        <v/>
      </c>
      <c r="H67" s="20">
        <f>IF(N(C67)=0,"",IF(D67/C67&gt;=0.9,"VENCEU","REPETE"))</f>
        <v/>
      </c>
    </row>
    <row r="68">
      <c r="A68" s="19" t="n"/>
      <c r="B68" s="19" t="n"/>
      <c r="C68" s="19" t="n"/>
      <c r="D68" s="19" t="n"/>
      <c r="E68" s="19" t="n"/>
      <c r="F68" s="24">
        <f>IFERROR(D68/C68,"")</f>
        <v/>
      </c>
      <c r="G68" s="24">
        <f>IFERROR((D68-E68)/C68,"")</f>
        <v/>
      </c>
      <c r="H68" s="20">
        <f>IF(N(C68)=0,"",IF(D68/C68&gt;=0.9,"VENCEU","REPETE"))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D28D9"/>
    <outlinePr summaryBelow="1" summaryRight="1"/>
    <pageSetUpPr/>
  </sheetPr>
  <dimension ref="A1:M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Noções de Direito Tributário</t>
        </is>
      </c>
      <c r="E1" s="11" t="inlineStr">
        <is>
          <t>Bloco P2 · Segunda-feira · 3 tópicos · 4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Direito tributário</t>
        </is>
      </c>
      <c r="C8" s="7" t="n">
        <v>1</v>
      </c>
      <c r="D8" s="7" t="inlineStr">
        <is>
          <t>2, 3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conceito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fontes do direito tributário</t>
        </is>
      </c>
      <c r="C10" s="20" t="n"/>
      <c r="D10" s="22" t="inlineStr">
        <is>
          <t>3</t>
        </is>
      </c>
    </row>
    <row r="11">
      <c r="A11" s="7" t="inlineStr">
        <is>
          <t>2</t>
        </is>
      </c>
      <c r="B11" s="17" t="inlineStr">
        <is>
          <t>Sistema Tributário Nacional</t>
        </is>
      </c>
      <c r="C11" s="7" t="n">
        <v>2</v>
      </c>
      <c r="D11" s="7" t="inlineStr">
        <is>
          <t>2, 4, 5, 7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20" t="n"/>
      <c r="B12" s="21" t="inlineStr">
        <is>
          <t xml:space="preserve">    2.1 princípios do direito tributário</t>
        </is>
      </c>
      <c r="C12" s="20" t="n"/>
      <c r="D12" s="22" t="inlineStr">
        <is>
          <t>2, 7</t>
        </is>
      </c>
    </row>
    <row r="13">
      <c r="A13" s="20" t="n"/>
      <c r="B13" s="21" t="inlineStr">
        <is>
          <t xml:space="preserve">    2.2 limitações constitucionais do poder de tributar da União, dos estados, do Distrito Federal e dos municípios</t>
        </is>
      </c>
      <c r="C13" s="20" t="n"/>
      <c r="D13" s="22" t="inlineStr">
        <is>
          <t>4, 7</t>
        </is>
      </c>
    </row>
    <row r="14">
      <c r="A14" s="20" t="n"/>
      <c r="B14" s="21" t="inlineStr">
        <is>
          <t xml:space="preserve">    2.3 repartição das receitas tributárias</t>
        </is>
      </c>
      <c r="C14" s="20" t="n"/>
      <c r="D14" s="22" t="inlineStr">
        <is>
          <t>5, 7</t>
        </is>
      </c>
    </row>
    <row r="15">
      <c r="A15" s="7" t="inlineStr">
        <is>
          <t>3</t>
        </is>
      </c>
      <c r="B15" s="17" t="inlineStr">
        <is>
          <t>Tributo</t>
        </is>
      </c>
      <c r="C15" s="7" t="n">
        <v>1</v>
      </c>
      <c r="D15" s="7" t="inlineStr">
        <is>
          <t>6, 7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9" t="n"/>
    </row>
    <row r="16">
      <c r="A16" s="20" t="n"/>
      <c r="B16" s="21" t="inlineStr">
        <is>
          <t xml:space="preserve">    3.1 conceito</t>
        </is>
      </c>
      <c r="C16" s="20" t="n"/>
      <c r="D16" s="22" t="inlineStr">
        <is>
          <t>6, 7</t>
        </is>
      </c>
    </row>
    <row r="17">
      <c r="A17" s="20" t="n"/>
      <c r="B17" s="21" t="inlineStr">
        <is>
          <t xml:space="preserve">    3.2 natureza jurídica</t>
        </is>
      </c>
      <c r="C17" s="20" t="n"/>
      <c r="D17" s="22" t="inlineStr">
        <is>
          <t>7</t>
        </is>
      </c>
    </row>
    <row r="18">
      <c r="A18" s="20" t="n"/>
      <c r="B18" s="21" t="inlineStr">
        <is>
          <t xml:space="preserve">    3.3 espécies</t>
        </is>
      </c>
      <c r="C18" s="20" t="n"/>
      <c r="D18" s="22" t="inlineStr">
        <is>
          <t>7</t>
        </is>
      </c>
    </row>
    <row r="19">
      <c r="A19" s="20" t="n"/>
      <c r="B19" s="21" t="inlineStr">
        <is>
          <t xml:space="preserve">    3.4 imposto</t>
        </is>
      </c>
      <c r="C19" s="20" t="n"/>
      <c r="D19" s="22" t="inlineStr">
        <is>
          <t>7</t>
        </is>
      </c>
    </row>
    <row r="20">
      <c r="A20" s="20" t="n"/>
      <c r="B20" s="21" t="inlineStr">
        <is>
          <t xml:space="preserve">    3.5 taxa</t>
        </is>
      </c>
      <c r="C20" s="20" t="n"/>
      <c r="D20" s="22" t="inlineStr">
        <is>
          <t>7</t>
        </is>
      </c>
    </row>
    <row r="21">
      <c r="A21" s="20" t="n"/>
      <c r="B21" s="21" t="inlineStr">
        <is>
          <t xml:space="preserve">    3.6 contribuição de melhoria</t>
        </is>
      </c>
      <c r="C21" s="20" t="n"/>
      <c r="D21" s="22" t="inlineStr">
        <is>
          <t>7</t>
        </is>
      </c>
    </row>
    <row r="22">
      <c r="A22" s="20" t="n"/>
      <c r="B22" s="21" t="inlineStr">
        <is>
          <t xml:space="preserve">    3.7 empréstimo compulsório</t>
        </is>
      </c>
      <c r="C22" s="20" t="n"/>
      <c r="D22" s="22" t="inlineStr">
        <is>
          <t>7</t>
        </is>
      </c>
    </row>
    <row r="23">
      <c r="A23" s="20" t="n"/>
      <c r="B23" s="21" t="inlineStr">
        <is>
          <t xml:space="preserve">    3.8 contribuições</t>
        </is>
      </c>
      <c r="C23" s="20" t="n"/>
      <c r="D23" s="22" t="inlineStr">
        <is>
          <t>6, 7</t>
        </is>
      </c>
    </row>
    <row r="26">
      <c r="A26" s="9" t="inlineStr">
        <is>
          <t>REGISTRO DOS SIMULADOS DESTA MATÉRIA</t>
        </is>
      </c>
    </row>
    <row r="27">
      <c r="A27" s="3" t="inlineStr">
        <is>
          <t>Filtro</t>
        </is>
      </c>
      <c r="B27" s="3" t="inlineStr">
        <is>
          <t>Data</t>
        </is>
      </c>
      <c r="C27" s="3" t="inlineStr">
        <is>
          <t>Total</t>
        </is>
      </c>
      <c r="D27" s="3" t="inlineStr">
        <is>
          <t>Acertos</t>
        </is>
      </c>
      <c r="E27" s="3" t="inlineStr">
        <is>
          <t>Erros</t>
        </is>
      </c>
      <c r="F27" s="3" t="inlineStr">
        <is>
          <t>% Bruto</t>
        </is>
      </c>
      <c r="G27" s="3" t="inlineStr">
        <is>
          <t>% Líquido</t>
        </is>
      </c>
      <c r="H27" s="3" t="inlineStr">
        <is>
          <t>Veredito</t>
        </is>
      </c>
    </row>
    <row r="28">
      <c r="A28" s="13" t="inlineStr">
        <is>
          <t>exemplo — apague ou ignore</t>
        </is>
      </c>
      <c r="B28" s="13" t="inlineStr">
        <is>
          <t>15/09/2026</t>
        </is>
      </c>
      <c r="C28" s="13" t="n">
        <v>20</v>
      </c>
      <c r="D28" s="13" t="n">
        <v>18</v>
      </c>
      <c r="E28" s="13" t="n">
        <v>2</v>
      </c>
      <c r="F28" s="23">
        <f>IFERROR(D28/C28,"")</f>
        <v/>
      </c>
      <c r="G28" s="23">
        <f>IFERROR((D28-E28)/C28,"")</f>
        <v/>
      </c>
      <c r="H28" s="13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  <row r="44">
      <c r="A44" s="19" t="n"/>
      <c r="B44" s="19" t="n"/>
      <c r="C44" s="19" t="n"/>
      <c r="D44" s="19" t="n"/>
      <c r="E44" s="19" t="n"/>
      <c r="F44" s="24">
        <f>IFERROR(D44/C44,"")</f>
        <v/>
      </c>
      <c r="G44" s="24">
        <f>IFERROR((D44-E44)/C44,"")</f>
        <v/>
      </c>
      <c r="H44" s="20">
        <f>IF(N(C44)=0,"",IF(D44/C44&gt;=0.9,"VENCEU","REPETE"))</f>
        <v/>
      </c>
    </row>
    <row r="45">
      <c r="A45" s="19" t="n"/>
      <c r="B45" s="19" t="n"/>
      <c r="C45" s="19" t="n"/>
      <c r="D45" s="19" t="n"/>
      <c r="E45" s="19" t="n"/>
      <c r="F45" s="24">
        <f>IFERROR(D45/C45,"")</f>
        <v/>
      </c>
      <c r="G45" s="24">
        <f>IFERROR((D45-E45)/C45,"")</f>
        <v/>
      </c>
      <c r="H45" s="20">
        <f>IF(N(C45)=0,"",IF(D45/C45&gt;=0.9,"VENCEU","REPETE"))</f>
        <v/>
      </c>
    </row>
    <row r="46">
      <c r="A46" s="19" t="n"/>
      <c r="B46" s="19" t="n"/>
      <c r="C46" s="19" t="n"/>
      <c r="D46" s="19" t="n"/>
      <c r="E46" s="19" t="n"/>
      <c r="F46" s="24">
        <f>IFERROR(D46/C46,"")</f>
        <v/>
      </c>
      <c r="G46" s="24">
        <f>IFERROR((D46-E46)/C46,"")</f>
        <v/>
      </c>
      <c r="H46" s="20">
        <f>IF(N(C46)=0,"",IF(D46/C46&gt;=0.9,"VENCEU","REPETE"))</f>
        <v/>
      </c>
    </row>
    <row r="47">
      <c r="A47" s="19" t="n"/>
      <c r="B47" s="19" t="n"/>
      <c r="C47" s="19" t="n"/>
      <c r="D47" s="19" t="n"/>
      <c r="E47" s="19" t="n"/>
      <c r="F47" s="24">
        <f>IFERROR(D47/C47,"")</f>
        <v/>
      </c>
      <c r="G47" s="24">
        <f>IFERROR((D47-E47)/C47,"")</f>
        <v/>
      </c>
      <c r="H47" s="20">
        <f>IF(N(C47)=0,"",IF(D47/C47&gt;=0.9,"VENCEU","REPETE"))</f>
        <v/>
      </c>
    </row>
    <row r="48">
      <c r="A48" s="19" t="n"/>
      <c r="B48" s="19" t="n"/>
      <c r="C48" s="19" t="n"/>
      <c r="D48" s="19" t="n"/>
      <c r="E48" s="19" t="n"/>
      <c r="F48" s="24">
        <f>IFERROR(D48/C48,"")</f>
        <v/>
      </c>
      <c r="G48" s="24">
        <f>IFERROR((D48-E48)/C48,"")</f>
        <v/>
      </c>
      <c r="H48" s="20">
        <f>IF(N(C48)=0,"",IF(D48/C48&gt;=0.9,"VENCEU","REPETE"))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M8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Direito Administrativo</t>
        </is>
      </c>
      <c r="E1" s="11" t="inlineStr">
        <is>
          <t>Bloco P3 · Terça-feira · 14 tópicos · 25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Estado, governo e administração pública</t>
        </is>
      </c>
      <c r="C8" s="7" t="n">
        <v>1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conceitos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elementos</t>
        </is>
      </c>
      <c r="C10" s="20" t="n"/>
      <c r="D10" s="22" t="inlineStr">
        <is>
          <t>2</t>
        </is>
      </c>
    </row>
    <row r="11">
      <c r="A11" s="7" t="inlineStr">
        <is>
          <t>2</t>
        </is>
      </c>
      <c r="B11" s="17" t="inlineStr">
        <is>
          <t>Direito administrativo</t>
        </is>
      </c>
      <c r="C11" s="7" t="n">
        <v>1</v>
      </c>
      <c r="D11" s="7" t="inlineStr">
        <is>
          <t>2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20" t="n"/>
      <c r="B12" s="21" t="inlineStr">
        <is>
          <t xml:space="preserve">    2.1 conceito</t>
        </is>
      </c>
      <c r="C12" s="20" t="n"/>
      <c r="D12" s="22" t="inlineStr">
        <is>
          <t>2</t>
        </is>
      </c>
    </row>
    <row r="13">
      <c r="A13" s="20" t="n"/>
      <c r="B13" s="21" t="inlineStr">
        <is>
          <t xml:space="preserve">    2.2 objeto</t>
        </is>
      </c>
      <c r="C13" s="20" t="n"/>
      <c r="D13" s="22" t="inlineStr">
        <is>
          <t>2</t>
        </is>
      </c>
    </row>
    <row r="14">
      <c r="A14" s="20" t="n"/>
      <c r="B14" s="21" t="inlineStr">
        <is>
          <t xml:space="preserve">    2.3 fontes</t>
        </is>
      </c>
      <c r="C14" s="20" t="n"/>
      <c r="D14" s="22" t="inlineStr">
        <is>
          <t>2</t>
        </is>
      </c>
    </row>
    <row r="15">
      <c r="A15" s="7" t="inlineStr">
        <is>
          <t>3</t>
        </is>
      </c>
      <c r="B15" s="17" t="inlineStr">
        <is>
          <t>Ato administrativo</t>
        </is>
      </c>
      <c r="C15" s="7" t="n">
        <v>3</v>
      </c>
      <c r="D15" s="7" t="inlineStr">
        <is>
          <t>5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9" t="n"/>
    </row>
    <row r="16">
      <c r="A16" s="20" t="n"/>
      <c r="B16" s="21" t="inlineStr">
        <is>
          <t xml:space="preserve">    3.1 conceito, requisitos, atributos, classificação e espécies</t>
        </is>
      </c>
      <c r="C16" s="20" t="n"/>
      <c r="D16" s="22" t="inlineStr">
        <is>
          <t>5</t>
        </is>
      </c>
    </row>
    <row r="17">
      <c r="A17" s="20" t="n"/>
      <c r="B17" s="21" t="inlineStr">
        <is>
          <t xml:space="preserve">    3.2 extinção do ato administrativo: cassação, anulação, revogação e convalidação</t>
        </is>
      </c>
      <c r="C17" s="20" t="n"/>
      <c r="D17" s="22" t="inlineStr">
        <is>
          <t>5</t>
        </is>
      </c>
    </row>
    <row r="18">
      <c r="A18" s="20" t="n"/>
      <c r="B18" s="21" t="inlineStr">
        <is>
          <t xml:space="preserve">    3.3 decadência administrativa</t>
        </is>
      </c>
      <c r="C18" s="20" t="n"/>
      <c r="D18" s="22" t="inlineStr">
        <is>
          <t>5</t>
        </is>
      </c>
    </row>
    <row r="19">
      <c r="A19" s="7" t="inlineStr">
        <is>
          <t>4</t>
        </is>
      </c>
      <c r="B19" s="17" t="inlineStr">
        <is>
          <t>Agentes públicos</t>
        </is>
      </c>
      <c r="C19" s="7" t="n">
        <v>3</v>
      </c>
      <c r="D19" s="7" t="inlineStr">
        <is>
          <t>6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9" t="n"/>
    </row>
    <row r="20">
      <c r="A20" s="20" t="n"/>
      <c r="B20" s="21" t="inlineStr">
        <is>
          <t xml:space="preserve">    4.1 disposições constitucionais aplicáveis</t>
        </is>
      </c>
      <c r="C20" s="20" t="n"/>
      <c r="D20" s="22" t="inlineStr">
        <is>
          <t>6</t>
        </is>
      </c>
    </row>
    <row r="21">
      <c r="A21" s="20" t="n"/>
      <c r="B21" s="21" t="inlineStr">
        <is>
          <t xml:space="preserve">    4.2 conceito</t>
        </is>
      </c>
      <c r="C21" s="20" t="n"/>
      <c r="D21" s="22" t="inlineStr">
        <is>
          <t>6</t>
        </is>
      </c>
    </row>
    <row r="22">
      <c r="A22" s="20" t="n"/>
      <c r="B22" s="21" t="inlineStr">
        <is>
          <t xml:space="preserve">    4.3 espécies</t>
        </is>
      </c>
      <c r="C22" s="20" t="n"/>
      <c r="D22" s="22" t="inlineStr">
        <is>
          <t>6</t>
        </is>
      </c>
    </row>
    <row r="23">
      <c r="A23" s="20" t="n"/>
      <c r="B23" s="21" t="inlineStr">
        <is>
          <t xml:space="preserve">    4.4 cargo, emprego e função pública (provimento, vacância, efetividade, estabilidade e vitaliciedade)</t>
        </is>
      </c>
      <c r="C23" s="20" t="n"/>
      <c r="D23" s="22" t="inlineStr">
        <is>
          <t>6</t>
        </is>
      </c>
    </row>
    <row r="24">
      <c r="A24" s="20" t="n"/>
      <c r="B24" s="21" t="inlineStr">
        <is>
          <t xml:space="preserve">    4.5 remuneração</t>
        </is>
      </c>
      <c r="C24" s="20" t="n"/>
      <c r="D24" s="22" t="inlineStr">
        <is>
          <t>6</t>
        </is>
      </c>
    </row>
    <row r="25">
      <c r="A25" s="20" t="n"/>
      <c r="B25" s="21" t="inlineStr">
        <is>
          <t xml:space="preserve">    4.6 direitos e deveres</t>
        </is>
      </c>
      <c r="C25" s="20" t="n"/>
      <c r="D25" s="22" t="inlineStr">
        <is>
          <t>6</t>
        </is>
      </c>
    </row>
    <row r="26">
      <c r="A26" s="20" t="n"/>
      <c r="B26" s="21" t="inlineStr">
        <is>
          <t xml:space="preserve">    4.7 responsabilidades</t>
        </is>
      </c>
      <c r="C26" s="20" t="n"/>
      <c r="D26" s="22" t="inlineStr">
        <is>
          <t>6</t>
        </is>
      </c>
    </row>
    <row r="27">
      <c r="A27" s="20" t="n"/>
      <c r="B27" s="21" t="inlineStr">
        <is>
          <t xml:space="preserve">    4.8 sindicância e processo administrativo disciplinar</t>
        </is>
      </c>
      <c r="C27" s="20" t="n"/>
      <c r="D27" s="22" t="inlineStr">
        <is>
          <t>6</t>
        </is>
      </c>
    </row>
    <row r="28">
      <c r="A28" s="7" t="inlineStr">
        <is>
          <t>5</t>
        </is>
      </c>
      <c r="B28" s="17" t="inlineStr">
        <is>
          <t>Poderes da administração pública</t>
        </is>
      </c>
      <c r="C28" s="7" t="n">
        <v>2</v>
      </c>
      <c r="D28" s="7" t="inlineStr">
        <is>
          <t>4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9" t="n"/>
    </row>
    <row r="29">
      <c r="A29" s="20" t="n"/>
      <c r="B29" s="21" t="inlineStr">
        <is>
          <t xml:space="preserve">    5.1 hierárquico, disciplinar, regulamentar e de polícia</t>
        </is>
      </c>
      <c r="C29" s="20" t="n"/>
      <c r="D29" s="22" t="inlineStr">
        <is>
          <t>4</t>
        </is>
      </c>
    </row>
    <row r="30">
      <c r="A30" s="20" t="n"/>
      <c r="B30" s="21" t="inlineStr">
        <is>
          <t xml:space="preserve">    5.2 uso e abuso do poder</t>
        </is>
      </c>
      <c r="C30" s="20" t="n"/>
      <c r="D30" s="22" t="inlineStr">
        <is>
          <t>4</t>
        </is>
      </c>
    </row>
    <row r="31">
      <c r="A31" s="7" t="inlineStr">
        <is>
          <t>6</t>
        </is>
      </c>
      <c r="B31" s="17" t="inlineStr">
        <is>
          <t>Regime jurídico-administrativo</t>
        </is>
      </c>
      <c r="C31" s="7" t="n">
        <v>2</v>
      </c>
      <c r="D31" s="7" t="inlineStr">
        <is>
          <t>2</t>
        </is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9" t="n"/>
    </row>
    <row r="32">
      <c r="A32" s="20" t="n"/>
      <c r="B32" s="21" t="inlineStr">
        <is>
          <t xml:space="preserve">    6.1 conceito</t>
        </is>
      </c>
      <c r="C32" s="20" t="n"/>
      <c r="D32" s="22" t="inlineStr">
        <is>
          <t>2</t>
        </is>
      </c>
    </row>
    <row r="33">
      <c r="A33" s="20" t="n"/>
      <c r="B33" s="21" t="inlineStr">
        <is>
          <t xml:space="preserve">    6.2 princípios expressos e implícitos da administração pública</t>
        </is>
      </c>
      <c r="C33" s="20" t="n"/>
      <c r="D33" s="22" t="inlineStr">
        <is>
          <t>2</t>
        </is>
      </c>
    </row>
    <row r="34">
      <c r="A34" s="7" t="inlineStr">
        <is>
          <t>7</t>
        </is>
      </c>
      <c r="B34" s="17" t="inlineStr">
        <is>
          <t>Responsabilidade civil do Estado</t>
        </is>
      </c>
      <c r="C34" s="7" t="n">
        <v>2</v>
      </c>
      <c r="D34" s="7" t="inlineStr">
        <is>
          <t>7</t>
        </is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9" t="n"/>
    </row>
    <row r="35">
      <c r="A35" s="20" t="n"/>
      <c r="B35" s="21" t="inlineStr">
        <is>
          <t xml:space="preserve">    7.1 evolução histórica</t>
        </is>
      </c>
      <c r="C35" s="20" t="n"/>
      <c r="D35" s="22" t="inlineStr">
        <is>
          <t>7</t>
        </is>
      </c>
    </row>
    <row r="36">
      <c r="A36" s="20" t="n"/>
      <c r="B36" s="21" t="inlineStr">
        <is>
          <t xml:space="preserve">    7.2 responsabilidade por ato comissivo</t>
        </is>
      </c>
      <c r="C36" s="20" t="n"/>
      <c r="D36" s="22" t="inlineStr">
        <is>
          <t>7</t>
        </is>
      </c>
    </row>
    <row r="37">
      <c r="A37" s="20" t="n"/>
      <c r="B37" s="21" t="inlineStr">
        <is>
          <t xml:space="preserve">    7.3 responsabilidade por omissão</t>
        </is>
      </c>
      <c r="C37" s="20" t="n"/>
      <c r="D37" s="22" t="inlineStr">
        <is>
          <t>7</t>
        </is>
      </c>
    </row>
    <row r="38">
      <c r="A38" s="20" t="n"/>
      <c r="B38" s="21" t="inlineStr">
        <is>
          <t xml:space="preserve">    7.4 requisitos para a demonstração da responsabilidade</t>
        </is>
      </c>
      <c r="C38" s="20" t="n"/>
      <c r="D38" s="22" t="inlineStr">
        <is>
          <t>7</t>
        </is>
      </c>
    </row>
    <row r="39">
      <c r="A39" s="20" t="n"/>
      <c r="B39" s="21" t="inlineStr">
        <is>
          <t xml:space="preserve">    7.5 causas excludentes e atenuantes</t>
        </is>
      </c>
      <c r="C39" s="20" t="n"/>
      <c r="D39" s="22" t="inlineStr">
        <is>
          <t>7</t>
        </is>
      </c>
    </row>
    <row r="40">
      <c r="A40" s="20" t="n"/>
      <c r="B40" s="21" t="inlineStr">
        <is>
          <t xml:space="preserve">    7.6 reparação do dano</t>
        </is>
      </c>
      <c r="C40" s="20" t="n"/>
      <c r="D40" s="22" t="inlineStr">
        <is>
          <t>7</t>
        </is>
      </c>
    </row>
    <row r="41">
      <c r="A41" s="20" t="n"/>
      <c r="B41" s="21" t="inlineStr">
        <is>
          <t xml:space="preserve">    7.7 direito de regresso</t>
        </is>
      </c>
      <c r="C41" s="20" t="n"/>
      <c r="D41" s="22" t="inlineStr">
        <is>
          <t>7</t>
        </is>
      </c>
    </row>
    <row r="42">
      <c r="A42" s="7" t="inlineStr">
        <is>
          <t>8</t>
        </is>
      </c>
      <c r="B42" s="17" t="inlineStr">
        <is>
          <t>Serviços públicos</t>
        </is>
      </c>
      <c r="C42" s="7" t="n">
        <v>1</v>
      </c>
      <c r="D42" s="7" t="inlineStr">
        <is>
          <t>8</t>
        </is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9" t="n"/>
    </row>
    <row r="43">
      <c r="A43" s="20" t="n"/>
      <c r="B43" s="21" t="inlineStr">
        <is>
          <t xml:space="preserve">    8.1 conceito</t>
        </is>
      </c>
      <c r="C43" s="20" t="n"/>
      <c r="D43" s="22" t="inlineStr">
        <is>
          <t>8</t>
        </is>
      </c>
    </row>
    <row r="44">
      <c r="A44" s="20" t="n"/>
      <c r="B44" s="21" t="inlineStr">
        <is>
          <t xml:space="preserve">    8.2 elementos constitutivos</t>
        </is>
      </c>
      <c r="C44" s="20" t="n"/>
      <c r="D44" s="22" t="inlineStr">
        <is>
          <t>8</t>
        </is>
      </c>
    </row>
    <row r="45">
      <c r="A45" s="20" t="n"/>
      <c r="B45" s="21" t="inlineStr">
        <is>
          <t xml:space="preserve">    8.3 classificação</t>
        </is>
      </c>
      <c r="C45" s="20" t="n"/>
      <c r="D45" s="22" t="inlineStr">
        <is>
          <t>8</t>
        </is>
      </c>
    </row>
    <row r="46">
      <c r="A46" s="20" t="n"/>
      <c r="B46" s="21" t="inlineStr">
        <is>
          <t xml:space="preserve">    8.4 princípios</t>
        </is>
      </c>
      <c r="C46" s="20" t="n"/>
      <c r="D46" s="22" t="inlineStr">
        <is>
          <t>8</t>
        </is>
      </c>
    </row>
    <row r="47">
      <c r="A47" s="20" t="n"/>
      <c r="B47" s="21" t="inlineStr">
        <is>
          <t xml:space="preserve">    8.5 formas de prestação e meios de execução</t>
        </is>
      </c>
      <c r="C47" s="20" t="n"/>
      <c r="D47" s="22" t="inlineStr">
        <is>
          <t>8</t>
        </is>
      </c>
    </row>
    <row r="48">
      <c r="A48" s="7" t="inlineStr">
        <is>
          <t>9</t>
        </is>
      </c>
      <c r="B48" s="17" t="inlineStr">
        <is>
          <t>Organização administrativa</t>
        </is>
      </c>
      <c r="C48" s="7" t="n">
        <v>2</v>
      </c>
      <c r="D48" s="7" t="inlineStr">
        <is>
          <t>3</t>
        </is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9" t="n"/>
    </row>
    <row r="49">
      <c r="A49" s="20" t="n"/>
      <c r="B49" s="21" t="inlineStr">
        <is>
          <t xml:space="preserve">    9.1 autarquias, fundações, empresas públicas e sociedades de economia mista</t>
        </is>
      </c>
      <c r="C49" s="20" t="n"/>
      <c r="D49" s="22" t="inlineStr">
        <is>
          <t>3</t>
        </is>
      </c>
    </row>
    <row r="50">
      <c r="A50" s="20" t="n"/>
      <c r="B50" s="21" t="inlineStr">
        <is>
          <t xml:space="preserve">    9.2 entidades paraestatais e terceiro setor (serviços sociais autônomos, entidades de apoio, organizações sociais, organizações da sociedade civil de interesse público)</t>
        </is>
      </c>
      <c r="C50" s="20" t="n"/>
      <c r="D50" s="22" t="inlineStr">
        <is>
          <t>3</t>
        </is>
      </c>
    </row>
    <row r="51">
      <c r="A51" s="7" t="inlineStr">
        <is>
          <t>10</t>
        </is>
      </c>
      <c r="B51" s="17" t="inlineStr">
        <is>
          <t>Controle da administração pública</t>
        </is>
      </c>
      <c r="C51" s="7" t="n">
        <v>2</v>
      </c>
      <c r="D51" s="7" t="inlineStr">
        <is>
          <t>9, 10</t>
        </is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9" t="n"/>
    </row>
    <row r="52">
      <c r="A52" s="20" t="n"/>
      <c r="B52" s="21" t="inlineStr">
        <is>
          <t xml:space="preserve">    10.1 controle exercido pela administração pública</t>
        </is>
      </c>
      <c r="C52" s="20" t="n"/>
      <c r="D52" s="22" t="inlineStr">
        <is>
          <t>9</t>
        </is>
      </c>
    </row>
    <row r="53">
      <c r="A53" s="20" t="n"/>
      <c r="B53" s="21" t="inlineStr">
        <is>
          <t xml:space="preserve">    10.2 controle judicial</t>
        </is>
      </c>
      <c r="C53" s="20" t="n"/>
      <c r="D53" s="25" t="inlineStr">
        <is>
          <t>(9, 10)</t>
        </is>
      </c>
    </row>
    <row r="54">
      <c r="A54" s="20" t="n"/>
      <c r="B54" s="21" t="inlineStr">
        <is>
          <t xml:space="preserve">    10.3 controle legislativo</t>
        </is>
      </c>
      <c r="C54" s="20" t="n"/>
      <c r="D54" s="22" t="inlineStr">
        <is>
          <t>9</t>
        </is>
      </c>
    </row>
    <row r="55">
      <c r="A55" s="20" t="n"/>
      <c r="B55" s="21" t="inlineStr">
        <is>
          <t xml:space="preserve">    10.4 improbidade administrativa: Lei federal nº 8.429/1992</t>
        </is>
      </c>
      <c r="C55" s="20" t="n"/>
      <c r="D55" s="22" t="inlineStr">
        <is>
          <t>10</t>
        </is>
      </c>
    </row>
    <row r="56">
      <c r="A56" s="7" t="inlineStr">
        <is>
          <t>11</t>
        </is>
      </c>
      <c r="B56" s="17" t="inlineStr">
        <is>
          <t>Lei federal nº 9.784/1999 e suas alterações (processo administrativo), aplicável ao Distrito Federal por força da Lei distrital nº 2.834/2001</t>
        </is>
      </c>
      <c r="C56" s="7" t="n">
        <v>1</v>
      </c>
      <c r="D56" s="7" t="inlineStr">
        <is>
          <t>11</t>
        </is>
      </c>
      <c r="E56" s="18" t="n"/>
      <c r="F56" s="18" t="n"/>
      <c r="G56" s="18" t="n"/>
      <c r="H56" s="18" t="n"/>
      <c r="I56" s="18" t="n"/>
      <c r="J56" s="18" t="n"/>
      <c r="K56" s="18" t="n"/>
      <c r="L56" s="18" t="n"/>
      <c r="M56" s="19" t="n"/>
    </row>
    <row r="57">
      <c r="A57" s="7" t="inlineStr">
        <is>
          <t>12</t>
        </is>
      </c>
      <c r="B57" s="17" t="inlineStr">
        <is>
          <t>Licitações e contratos administrativos</t>
        </is>
      </c>
      <c r="C57" s="7" t="n">
        <v>3</v>
      </c>
      <c r="D57" s="7" t="inlineStr">
        <is>
          <t>12, 13</t>
        </is>
      </c>
      <c r="E57" s="18" t="n"/>
      <c r="F57" s="18" t="n"/>
      <c r="G57" s="18" t="n"/>
      <c r="H57" s="18" t="n"/>
      <c r="I57" s="18" t="n"/>
      <c r="J57" s="18" t="n"/>
      <c r="K57" s="18" t="n"/>
      <c r="L57" s="18" t="n"/>
      <c r="M57" s="19" t="n"/>
    </row>
    <row r="58">
      <c r="A58" s="20" t="n"/>
      <c r="B58" s="21" t="inlineStr">
        <is>
          <t xml:space="preserve">    12.1 Lei federal nº 14.133/2021</t>
        </is>
      </c>
      <c r="C58" s="20" t="n"/>
      <c r="D58" s="22" t="inlineStr">
        <is>
          <t>12</t>
        </is>
      </c>
    </row>
    <row r="59">
      <c r="A59" s="20" t="n"/>
      <c r="B59" s="21" t="inlineStr">
        <is>
          <t xml:space="preserve">    12.2 contratos administrativos</t>
        </is>
      </c>
      <c r="C59" s="20" t="n"/>
      <c r="D59" s="25" t="inlineStr">
        <is>
          <t>(12, 13)</t>
        </is>
      </c>
    </row>
    <row r="60">
      <c r="A60" s="20" t="n"/>
      <c r="B60" s="21" t="inlineStr">
        <is>
          <t xml:space="preserve">    12.3 Decreto distrital nº 44.330/2023</t>
        </is>
      </c>
      <c r="C60" s="20" t="n"/>
      <c r="D60" s="22" t="inlineStr">
        <is>
          <t>13</t>
        </is>
      </c>
    </row>
    <row r="61">
      <c r="A61" s="7" t="inlineStr">
        <is>
          <t>13</t>
        </is>
      </c>
      <c r="B61" s="17" t="inlineStr">
        <is>
          <t>Lei nº 12.527/2011 (Lei de Acesso à Informação)</t>
        </is>
      </c>
      <c r="C61" s="7" t="n">
        <v>1</v>
      </c>
      <c r="D61" s="7" t="inlineStr">
        <is>
          <t>14</t>
        </is>
      </c>
      <c r="E61" s="18" t="n"/>
      <c r="F61" s="18" t="n"/>
      <c r="G61" s="18" t="n"/>
      <c r="H61" s="18" t="n"/>
      <c r="I61" s="18" t="n"/>
      <c r="J61" s="18" t="n"/>
      <c r="K61" s="18" t="n"/>
      <c r="L61" s="18" t="n"/>
      <c r="M61" s="19" t="n"/>
    </row>
    <row r="62">
      <c r="A62" s="7" t="inlineStr">
        <is>
          <t>14</t>
        </is>
      </c>
      <c r="B62" s="17" t="inlineStr">
        <is>
          <t>Lei nº 13.709/2018 (Lei Geral de Proteção de Dados Pessoais – LGPD)</t>
        </is>
      </c>
      <c r="C62" s="7" t="n">
        <v>1</v>
      </c>
      <c r="D62" s="7" t="inlineStr">
        <is>
          <t>15</t>
        </is>
      </c>
      <c r="E62" s="18" t="n"/>
      <c r="F62" s="18" t="n"/>
      <c r="G62" s="18" t="n"/>
      <c r="H62" s="18" t="n"/>
      <c r="I62" s="18" t="n"/>
      <c r="J62" s="18" t="n"/>
      <c r="K62" s="18" t="n"/>
      <c r="L62" s="18" t="n"/>
      <c r="M62" s="19" t="n"/>
    </row>
    <row r="65">
      <c r="A65" s="9" t="inlineStr">
        <is>
          <t>REGISTRO DOS SIMULADOS DESTA MATÉRIA</t>
        </is>
      </c>
    </row>
    <row r="66">
      <c r="A66" s="3" t="inlineStr">
        <is>
          <t>Filtro</t>
        </is>
      </c>
      <c r="B66" s="3" t="inlineStr">
        <is>
          <t>Data</t>
        </is>
      </c>
      <c r="C66" s="3" t="inlineStr">
        <is>
          <t>Total</t>
        </is>
      </c>
      <c r="D66" s="3" t="inlineStr">
        <is>
          <t>Acertos</t>
        </is>
      </c>
      <c r="E66" s="3" t="inlineStr">
        <is>
          <t>Erros</t>
        </is>
      </c>
      <c r="F66" s="3" t="inlineStr">
        <is>
          <t>% Bruto</t>
        </is>
      </c>
      <c r="G66" s="3" t="inlineStr">
        <is>
          <t>% Líquido</t>
        </is>
      </c>
      <c r="H66" s="3" t="inlineStr">
        <is>
          <t>Veredito</t>
        </is>
      </c>
    </row>
    <row r="67">
      <c r="A67" s="13" t="inlineStr">
        <is>
          <t>exemplo — apague ou ignore</t>
        </is>
      </c>
      <c r="B67" s="13" t="inlineStr">
        <is>
          <t>15/09/2026</t>
        </is>
      </c>
      <c r="C67" s="13" t="n">
        <v>20</v>
      </c>
      <c r="D67" s="13" t="n">
        <v>18</v>
      </c>
      <c r="E67" s="13" t="n">
        <v>2</v>
      </c>
      <c r="F67" s="23">
        <f>IFERROR(D67/C67,"")</f>
        <v/>
      </c>
      <c r="G67" s="23">
        <f>IFERROR((D67-E67)/C67,"")</f>
        <v/>
      </c>
      <c r="H67" s="13">
        <f>IF(N(C67)=0,"",IF(D67/C67&gt;=0.9,"VENCEU","REPETE"))</f>
        <v/>
      </c>
    </row>
    <row r="68">
      <c r="A68" s="19" t="n"/>
      <c r="B68" s="19" t="n"/>
      <c r="C68" s="19" t="n"/>
      <c r="D68" s="19" t="n"/>
      <c r="E68" s="19" t="n"/>
      <c r="F68" s="24">
        <f>IFERROR(D68/C68,"")</f>
        <v/>
      </c>
      <c r="G68" s="24">
        <f>IFERROR((D68-E68)/C68,"")</f>
        <v/>
      </c>
      <c r="H68" s="20">
        <f>IF(N(C68)=0,"",IF(D68/C68&gt;=0.9,"VENCEU","REPETE"))</f>
        <v/>
      </c>
    </row>
    <row r="69">
      <c r="A69" s="19" t="n"/>
      <c r="B69" s="19" t="n"/>
      <c r="C69" s="19" t="n"/>
      <c r="D69" s="19" t="n"/>
      <c r="E69" s="19" t="n"/>
      <c r="F69" s="24">
        <f>IFERROR(D69/C69,"")</f>
        <v/>
      </c>
      <c r="G69" s="24">
        <f>IFERROR((D69-E69)/C69,"")</f>
        <v/>
      </c>
      <c r="H69" s="20">
        <f>IF(N(C69)=0,"",IF(D69/C69&gt;=0.9,"VENCEU","REPETE"))</f>
        <v/>
      </c>
    </row>
    <row r="70">
      <c r="A70" s="19" t="n"/>
      <c r="B70" s="19" t="n"/>
      <c r="C70" s="19" t="n"/>
      <c r="D70" s="19" t="n"/>
      <c r="E70" s="19" t="n"/>
      <c r="F70" s="24">
        <f>IFERROR(D70/C70,"")</f>
        <v/>
      </c>
      <c r="G70" s="24">
        <f>IFERROR((D70-E70)/C70,"")</f>
        <v/>
      </c>
      <c r="H70" s="20">
        <f>IF(N(C70)=0,"",IF(D70/C70&gt;=0.9,"VENCEU","REPETE"))</f>
        <v/>
      </c>
    </row>
    <row r="71">
      <c r="A71" s="19" t="n"/>
      <c r="B71" s="19" t="n"/>
      <c r="C71" s="19" t="n"/>
      <c r="D71" s="19" t="n"/>
      <c r="E71" s="19" t="n"/>
      <c r="F71" s="24">
        <f>IFERROR(D71/C71,"")</f>
        <v/>
      </c>
      <c r="G71" s="24">
        <f>IFERROR((D71-E71)/C71,"")</f>
        <v/>
      </c>
      <c r="H71" s="20">
        <f>IF(N(C71)=0,"",IF(D71/C71&gt;=0.9,"VENCEU","REPETE"))</f>
        <v/>
      </c>
    </row>
    <row r="72">
      <c r="A72" s="19" t="n"/>
      <c r="B72" s="19" t="n"/>
      <c r="C72" s="19" t="n"/>
      <c r="D72" s="19" t="n"/>
      <c r="E72" s="19" t="n"/>
      <c r="F72" s="24">
        <f>IFERROR(D72/C72,"")</f>
        <v/>
      </c>
      <c r="G72" s="24">
        <f>IFERROR((D72-E72)/C72,"")</f>
        <v/>
      </c>
      <c r="H72" s="20">
        <f>IF(N(C72)=0,"",IF(D72/C72&gt;=0.9,"VENCEU","REPETE"))</f>
        <v/>
      </c>
    </row>
    <row r="73">
      <c r="A73" s="19" t="n"/>
      <c r="B73" s="19" t="n"/>
      <c r="C73" s="19" t="n"/>
      <c r="D73" s="19" t="n"/>
      <c r="E73" s="19" t="n"/>
      <c r="F73" s="24">
        <f>IFERROR(D73/C73,"")</f>
        <v/>
      </c>
      <c r="G73" s="24">
        <f>IFERROR((D73-E73)/C73,"")</f>
        <v/>
      </c>
      <c r="H73" s="20">
        <f>IF(N(C73)=0,"",IF(D73/C73&gt;=0.9,"VENCEU","REPETE"))</f>
        <v/>
      </c>
    </row>
    <row r="74">
      <c r="A74" s="19" t="n"/>
      <c r="B74" s="19" t="n"/>
      <c r="C74" s="19" t="n"/>
      <c r="D74" s="19" t="n"/>
      <c r="E74" s="19" t="n"/>
      <c r="F74" s="24">
        <f>IFERROR(D74/C74,"")</f>
        <v/>
      </c>
      <c r="G74" s="24">
        <f>IFERROR((D74-E74)/C74,"")</f>
        <v/>
      </c>
      <c r="H74" s="20">
        <f>IF(N(C74)=0,"",IF(D74/C74&gt;=0.9,"VENCEU","REPETE"))</f>
        <v/>
      </c>
    </row>
    <row r="75">
      <c r="A75" s="19" t="n"/>
      <c r="B75" s="19" t="n"/>
      <c r="C75" s="19" t="n"/>
      <c r="D75" s="19" t="n"/>
      <c r="E75" s="19" t="n"/>
      <c r="F75" s="24">
        <f>IFERROR(D75/C75,"")</f>
        <v/>
      </c>
      <c r="G75" s="24">
        <f>IFERROR((D75-E75)/C75,"")</f>
        <v/>
      </c>
      <c r="H75" s="20">
        <f>IF(N(C75)=0,"",IF(D75/C75&gt;=0.9,"VENCEU","REPETE"))</f>
        <v/>
      </c>
    </row>
    <row r="76">
      <c r="A76" s="19" t="n"/>
      <c r="B76" s="19" t="n"/>
      <c r="C76" s="19" t="n"/>
      <c r="D76" s="19" t="n"/>
      <c r="E76" s="19" t="n"/>
      <c r="F76" s="24">
        <f>IFERROR(D76/C76,"")</f>
        <v/>
      </c>
      <c r="G76" s="24">
        <f>IFERROR((D76-E76)/C76,"")</f>
        <v/>
      </c>
      <c r="H76" s="20">
        <f>IF(N(C76)=0,"",IF(D76/C76&gt;=0.9,"VENCEU","REPETE"))</f>
        <v/>
      </c>
    </row>
    <row r="77">
      <c r="A77" s="19" t="n"/>
      <c r="B77" s="19" t="n"/>
      <c r="C77" s="19" t="n"/>
      <c r="D77" s="19" t="n"/>
      <c r="E77" s="19" t="n"/>
      <c r="F77" s="24">
        <f>IFERROR(D77/C77,"")</f>
        <v/>
      </c>
      <c r="G77" s="24">
        <f>IFERROR((D77-E77)/C77,"")</f>
        <v/>
      </c>
      <c r="H77" s="20">
        <f>IF(N(C77)=0,"",IF(D77/C77&gt;=0.9,"VENCEU","REPETE"))</f>
        <v/>
      </c>
    </row>
    <row r="78">
      <c r="A78" s="19" t="n"/>
      <c r="B78" s="19" t="n"/>
      <c r="C78" s="19" t="n"/>
      <c r="D78" s="19" t="n"/>
      <c r="E78" s="19" t="n"/>
      <c r="F78" s="24">
        <f>IFERROR(D78/C78,"")</f>
        <v/>
      </c>
      <c r="G78" s="24">
        <f>IFERROR((D78-E78)/C78,"")</f>
        <v/>
      </c>
      <c r="H78" s="20">
        <f>IF(N(C78)=0,"",IF(D78/C78&gt;=0.9,"VENCEU","REPETE"))</f>
        <v/>
      </c>
    </row>
    <row r="79">
      <c r="A79" s="19" t="n"/>
      <c r="B79" s="19" t="n"/>
      <c r="C79" s="19" t="n"/>
      <c r="D79" s="19" t="n"/>
      <c r="E79" s="19" t="n"/>
      <c r="F79" s="24">
        <f>IFERROR(D79/C79,"")</f>
        <v/>
      </c>
      <c r="G79" s="24">
        <f>IFERROR((D79-E79)/C79,"")</f>
        <v/>
      </c>
      <c r="H79" s="20">
        <f>IF(N(C79)=0,"",IF(D79/C79&gt;=0.9,"VENCEU","REPETE"))</f>
        <v/>
      </c>
    </row>
    <row r="80">
      <c r="A80" s="19" t="n"/>
      <c r="B80" s="19" t="n"/>
      <c r="C80" s="19" t="n"/>
      <c r="D80" s="19" t="n"/>
      <c r="E80" s="19" t="n"/>
      <c r="F80" s="24">
        <f>IFERROR(D80/C80,"")</f>
        <v/>
      </c>
      <c r="G80" s="24">
        <f>IFERROR((D80-E80)/C80,"")</f>
        <v/>
      </c>
      <c r="H80" s="20">
        <f>IF(N(C80)=0,"",IF(D80/C80&gt;=0.9,"VENCEU","REPETE"))</f>
        <v/>
      </c>
    </row>
    <row r="81">
      <c r="A81" s="19" t="n"/>
      <c r="B81" s="19" t="n"/>
      <c r="C81" s="19" t="n"/>
      <c r="D81" s="19" t="n"/>
      <c r="E81" s="19" t="n"/>
      <c r="F81" s="24">
        <f>IFERROR(D81/C81,"")</f>
        <v/>
      </c>
      <c r="G81" s="24">
        <f>IFERROR((D81-E81)/C81,"")</f>
        <v/>
      </c>
      <c r="H81" s="20">
        <f>IF(N(C81)=0,"",IF(D81/C81&gt;=0.9,"VENCEU","REPETE"))</f>
        <v/>
      </c>
    </row>
    <row r="82">
      <c r="A82" s="19" t="n"/>
      <c r="B82" s="19" t="n"/>
      <c r="C82" s="19" t="n"/>
      <c r="D82" s="19" t="n"/>
      <c r="E82" s="19" t="n"/>
      <c r="F82" s="24">
        <f>IFERROR(D82/C82,"")</f>
        <v/>
      </c>
      <c r="G82" s="24">
        <f>IFERROR((D82-E82)/C82,"")</f>
        <v/>
      </c>
      <c r="H82" s="20">
        <f>IF(N(C82)=0,"",IF(D82/C82&gt;=0.9,"VENCEU","REPETE"))</f>
        <v/>
      </c>
    </row>
    <row r="83">
      <c r="A83" s="19" t="n"/>
      <c r="B83" s="19" t="n"/>
      <c r="C83" s="19" t="n"/>
      <c r="D83" s="19" t="n"/>
      <c r="E83" s="19" t="n"/>
      <c r="F83" s="24">
        <f>IFERROR(D83/C83,"")</f>
        <v/>
      </c>
      <c r="G83" s="24">
        <f>IFERROR((D83-E83)/C83,"")</f>
        <v/>
      </c>
      <c r="H83" s="20">
        <f>IF(N(C83)=0,"",IF(D83/C83&gt;=0.9,"VENCEU","REPETE"))</f>
        <v/>
      </c>
    </row>
    <row r="84">
      <c r="A84" s="19" t="n"/>
      <c r="B84" s="19" t="n"/>
      <c r="C84" s="19" t="n"/>
      <c r="D84" s="19" t="n"/>
      <c r="E84" s="19" t="n"/>
      <c r="F84" s="24">
        <f>IFERROR(D84/C84,"")</f>
        <v/>
      </c>
      <c r="G84" s="24">
        <f>IFERROR((D84-E84)/C84,"")</f>
        <v/>
      </c>
      <c r="H84" s="20">
        <f>IF(N(C84)=0,"",IF(D84/C84&gt;=0.9,"VENCEU","REPETE"))</f>
        <v/>
      </c>
    </row>
    <row r="85">
      <c r="A85" s="19" t="n"/>
      <c r="B85" s="19" t="n"/>
      <c r="C85" s="19" t="n"/>
      <c r="D85" s="19" t="n"/>
      <c r="E85" s="19" t="n"/>
      <c r="F85" s="24">
        <f>IFERROR(D85/C85,"")</f>
        <v/>
      </c>
      <c r="G85" s="24">
        <f>IFERROR((D85-E85)/C85,"")</f>
        <v/>
      </c>
      <c r="H85" s="20">
        <f>IF(N(C85)=0,"",IF(D85/C85&gt;=0.9,"VENCEU","REPETE"))</f>
        <v/>
      </c>
    </row>
    <row r="86">
      <c r="A86" s="19" t="n"/>
      <c r="B86" s="19" t="n"/>
      <c r="C86" s="19" t="n"/>
      <c r="D86" s="19" t="n"/>
      <c r="E86" s="19" t="n"/>
      <c r="F86" s="24">
        <f>IFERROR(D86/C86,"")</f>
        <v/>
      </c>
      <c r="G86" s="24">
        <f>IFERROR((D86-E86)/C86,"")</f>
        <v/>
      </c>
      <c r="H86" s="20">
        <f>IF(N(C86)=0,"",IF(D86/C86&gt;=0.9,"VENCEU","REPETE"))</f>
        <v/>
      </c>
    </row>
    <row r="87">
      <c r="A87" s="19" t="n"/>
      <c r="B87" s="19" t="n"/>
      <c r="C87" s="19" t="n"/>
      <c r="D87" s="19" t="n"/>
      <c r="E87" s="19" t="n"/>
      <c r="F87" s="24">
        <f>IFERROR(D87/C87,"")</f>
        <v/>
      </c>
      <c r="G87" s="24">
        <f>IFERROR((D87-E87)/C87,"")</f>
        <v/>
      </c>
      <c r="H87" s="20">
        <f>IF(N(C87)=0,"",IF(D87/C87&gt;=0.9,"VENCEU","REPETE"))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D28D9"/>
    <outlinePr summaryBelow="1" summaryRight="1"/>
    <pageSetUpPr/>
  </sheetPr>
  <dimension ref="A1:M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Gestão de Contratos</t>
        </is>
      </c>
      <c r="E1" s="11" t="inlineStr">
        <is>
          <t>Bloco P3 · Terça-feira · 2 tópicos · 7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Legislação aplicável à contratação de bens e serviços</t>
        </is>
      </c>
      <c r="C8" s="7" t="n">
        <v>3</v>
      </c>
      <c r="D8" s="7" t="inlineStr">
        <is>
          <t>2, 3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Lei nº 14.133/2021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Instrução Normativa nº 5/2017 da Secretaria de Gestão do Ministério do Planejamento, Desenvolvimento e Gestão</t>
        </is>
      </c>
      <c r="C10" s="20" t="n"/>
      <c r="D10" s="22" t="inlineStr">
        <is>
          <t>3</t>
        </is>
      </c>
    </row>
    <row r="11">
      <c r="A11" s="20" t="n"/>
      <c r="B11" s="21" t="inlineStr">
        <is>
          <t xml:space="preserve">    1.3 Decreto distrital nº 44.330/2023</t>
        </is>
      </c>
      <c r="C11" s="20" t="n"/>
      <c r="D11" s="22" t="inlineStr">
        <is>
          <t>2</t>
        </is>
      </c>
    </row>
    <row r="12">
      <c r="A12" s="7" t="inlineStr">
        <is>
          <t>2</t>
        </is>
      </c>
      <c r="B12" s="17" t="inlineStr">
        <is>
          <t>Elaboração e fiscalização de contratos</t>
        </is>
      </c>
      <c r="C12" s="7" t="n">
        <v>4</v>
      </c>
      <c r="D12" s="7" t="inlineStr">
        <is>
          <t>4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9" t="n"/>
    </row>
    <row r="13">
      <c r="A13" s="20" t="n"/>
      <c r="B13" s="21" t="inlineStr">
        <is>
          <t xml:space="preserve">    2.1 cláusulas e indicadores de nível de serviço</t>
        </is>
      </c>
      <c r="C13" s="20" t="n"/>
      <c r="D13" s="22" t="inlineStr">
        <is>
          <t>4</t>
        </is>
      </c>
    </row>
    <row r="14">
      <c r="A14" s="20" t="n"/>
      <c r="B14" s="21" t="inlineStr">
        <is>
          <t xml:space="preserve">    2.2 papel do fiscalizador do contrato</t>
        </is>
      </c>
      <c r="C14" s="20" t="n"/>
      <c r="D14" s="25" t="inlineStr">
        <is>
          <t>(4)</t>
        </is>
      </c>
    </row>
    <row r="15">
      <c r="A15" s="20" t="n"/>
      <c r="B15" s="21" t="inlineStr">
        <is>
          <t xml:space="preserve">    2.3 papel do preposto da contratada</t>
        </is>
      </c>
      <c r="C15" s="20" t="n"/>
      <c r="D15" s="25" t="inlineStr">
        <is>
          <t>(4)</t>
        </is>
      </c>
    </row>
    <row r="16">
      <c r="A16" s="20" t="n"/>
      <c r="B16" s="21" t="inlineStr">
        <is>
          <t xml:space="preserve">    2.4 acompanhamento da execução contratual</t>
        </is>
      </c>
      <c r="C16" s="20" t="n"/>
      <c r="D16" s="25" t="inlineStr">
        <is>
          <t>(4)</t>
        </is>
      </c>
    </row>
    <row r="17">
      <c r="A17" s="20" t="n"/>
      <c r="B17" s="21" t="inlineStr">
        <is>
          <t xml:space="preserve">    2.5 registro e notificação de irregularidades</t>
        </is>
      </c>
      <c r="C17" s="20" t="n"/>
      <c r="D17" s="25" t="inlineStr">
        <is>
          <t>(4)</t>
        </is>
      </c>
    </row>
    <row r="18">
      <c r="A18" s="20" t="n"/>
      <c r="B18" s="21" t="inlineStr">
        <is>
          <t xml:space="preserve">    2.6 definição e aplicação de penalidades e sanções administrativas</t>
        </is>
      </c>
      <c r="C18" s="20" t="n"/>
      <c r="D18" s="25" t="inlineStr">
        <is>
          <t>(4)</t>
        </is>
      </c>
    </row>
    <row r="19">
      <c r="A19" s="20" t="n"/>
      <c r="B19" s="21" t="inlineStr">
        <is>
          <t xml:space="preserve">    2.7 equação econômico-financeira (reajuste e repactuação)</t>
        </is>
      </c>
      <c r="C19" s="20" t="n"/>
      <c r="D19" s="22" t="inlineStr">
        <is>
          <t>4</t>
        </is>
      </c>
    </row>
    <row r="22">
      <c r="A22" s="9" t="inlineStr">
        <is>
          <t>REGISTRO DOS SIMULADOS DESTA MATÉRIA</t>
        </is>
      </c>
    </row>
    <row r="23">
      <c r="A23" s="3" t="inlineStr">
        <is>
          <t>Filtro</t>
        </is>
      </c>
      <c r="B23" s="3" t="inlineStr">
        <is>
          <t>Data</t>
        </is>
      </c>
      <c r="C23" s="3" t="inlineStr">
        <is>
          <t>Total</t>
        </is>
      </c>
      <c r="D23" s="3" t="inlineStr">
        <is>
          <t>Acertos</t>
        </is>
      </c>
      <c r="E23" s="3" t="inlineStr">
        <is>
          <t>Erros</t>
        </is>
      </c>
      <c r="F23" s="3" t="inlineStr">
        <is>
          <t>% Bruto</t>
        </is>
      </c>
      <c r="G23" s="3" t="inlineStr">
        <is>
          <t>% Líquido</t>
        </is>
      </c>
      <c r="H23" s="3" t="inlineStr">
        <is>
          <t>Veredito</t>
        </is>
      </c>
    </row>
    <row r="24">
      <c r="A24" s="13" t="inlineStr">
        <is>
          <t>exemplo — apague ou ignore</t>
        </is>
      </c>
      <c r="B24" s="13" t="inlineStr">
        <is>
          <t>15/09/2026</t>
        </is>
      </c>
      <c r="C24" s="13" t="n">
        <v>20</v>
      </c>
      <c r="D24" s="13" t="n">
        <v>18</v>
      </c>
      <c r="E24" s="13" t="n">
        <v>2</v>
      </c>
      <c r="F24" s="23">
        <f>IFERROR(D24/C24,"")</f>
        <v/>
      </c>
      <c r="G24" s="23">
        <f>IFERROR((D24-E24)/C24,"")</f>
        <v/>
      </c>
      <c r="H24" s="13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  <row r="44">
      <c r="A44" s="19" t="n"/>
      <c r="B44" s="19" t="n"/>
      <c r="C44" s="19" t="n"/>
      <c r="D44" s="19" t="n"/>
      <c r="E44" s="19" t="n"/>
      <c r="F44" s="24">
        <f>IFERROR(D44/C44,"")</f>
        <v/>
      </c>
      <c r="G44" s="24">
        <f>IFERROR((D44-E44)/C44,"")</f>
        <v/>
      </c>
      <c r="H44" s="20">
        <f>IF(N(C44)=0,"",IF(D44/C44&gt;=0.9,"VENCEU","REPETE"))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/>
  </sheetPr>
  <dimension ref="A1:M5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Direito Constitucional</t>
        </is>
      </c>
      <c r="E1" s="11" t="inlineStr">
        <is>
          <t>Bloco P2 · Quarta-feira · 9 tópicos · 12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Constituição da República Federativa do Brasil de 1988</t>
        </is>
      </c>
      <c r="C8" s="7" t="n">
        <v>1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princípios fundamentais</t>
        </is>
      </c>
      <c r="C9" s="20" t="n"/>
      <c r="D9" s="22" t="inlineStr">
        <is>
          <t>2</t>
        </is>
      </c>
    </row>
    <row r="10">
      <c r="A10" s="7" t="inlineStr">
        <is>
          <t>2</t>
        </is>
      </c>
      <c r="B10" s="17" t="inlineStr">
        <is>
          <t>Aplicabilidade das normas constitucionais</t>
        </is>
      </c>
      <c r="C10" s="7" t="n">
        <v>1</v>
      </c>
      <c r="D10" s="7" t="inlineStr">
        <is>
          <t>4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9" t="n"/>
    </row>
    <row r="11">
      <c r="A11" s="20" t="n"/>
      <c r="B11" s="21" t="inlineStr">
        <is>
          <t xml:space="preserve">    2.1 normas de eficácia plena, contida e limitada; normas programáticas</t>
        </is>
      </c>
      <c r="C11" s="20" t="n"/>
      <c r="D11" s="22" t="inlineStr">
        <is>
          <t>4</t>
        </is>
      </c>
    </row>
    <row r="12">
      <c r="A12" s="20" t="n"/>
      <c r="B12" s="21" t="inlineStr">
        <is>
          <t xml:space="preserve">    2.2 emenda, reforma e revisão constitucional</t>
        </is>
      </c>
      <c r="C12" s="20" t="n"/>
      <c r="D12" s="22" t="inlineStr">
        <is>
          <t>4</t>
        </is>
      </c>
    </row>
    <row r="13">
      <c r="A13" s="7" t="inlineStr">
        <is>
          <t>3</t>
        </is>
      </c>
      <c r="B13" s="17" t="inlineStr">
        <is>
          <t>Direitos e garantias fundamentais</t>
        </is>
      </c>
      <c r="C13" s="7" t="n">
        <v>2</v>
      </c>
      <c r="D13" s="7" t="inlineStr">
        <is>
          <t>3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9" t="n"/>
    </row>
    <row r="14">
      <c r="A14" s="20" t="n"/>
      <c r="B14" s="21" t="inlineStr">
        <is>
          <t xml:space="preserve">    3.1 direitos e deveres individuais e coletivos, direitos sociais, direitos de nacionalidade, direitos políticos, partidos políticos</t>
        </is>
      </c>
      <c r="C14" s="20" t="n"/>
      <c r="D14" s="22" t="inlineStr">
        <is>
          <t>3</t>
        </is>
      </c>
    </row>
    <row r="15">
      <c r="A15" s="7" t="inlineStr">
        <is>
          <t>4</t>
        </is>
      </c>
      <c r="B15" s="17" t="inlineStr">
        <is>
          <t>Organização político-administrativa do Estado</t>
        </is>
      </c>
      <c r="C15" s="7" t="n">
        <v>1</v>
      </c>
      <c r="D15" s="7" t="inlineStr">
        <is>
          <t>5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9" t="n"/>
    </row>
    <row r="16">
      <c r="A16" s="20" t="n"/>
      <c r="B16" s="21" t="inlineStr">
        <is>
          <t xml:space="preserve">    4.1 Estado federal brasileiro, União, estados, Distrito Federal e municípios</t>
        </is>
      </c>
      <c r="C16" s="20" t="n"/>
      <c r="D16" s="22" t="inlineStr">
        <is>
          <t>5</t>
        </is>
      </c>
    </row>
    <row r="17">
      <c r="A17" s="7" t="inlineStr">
        <is>
          <t>5</t>
        </is>
      </c>
      <c r="B17" s="17" t="inlineStr">
        <is>
          <t>Administração pública</t>
        </is>
      </c>
      <c r="C17" s="7" t="n">
        <v>2</v>
      </c>
      <c r="D17" s="7" t="inlineStr">
        <is>
          <t>6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</row>
    <row r="18">
      <c r="A18" s="20" t="n"/>
      <c r="B18" s="21" t="inlineStr">
        <is>
          <t xml:space="preserve">    5.1 disposições gerais</t>
        </is>
      </c>
      <c r="C18" s="20" t="n"/>
      <c r="D18" s="25" t="inlineStr">
        <is>
          <t>(6)</t>
        </is>
      </c>
    </row>
    <row r="19">
      <c r="A19" s="20" t="n"/>
      <c r="B19" s="21" t="inlineStr">
        <is>
          <t xml:space="preserve">    5.2 servidores públicos</t>
        </is>
      </c>
      <c r="C19" s="20" t="n"/>
      <c r="D19" s="22" t="inlineStr">
        <is>
          <t>6</t>
        </is>
      </c>
    </row>
    <row r="20">
      <c r="A20" s="7" t="inlineStr">
        <is>
          <t>6</t>
        </is>
      </c>
      <c r="B20" s="17" t="inlineStr">
        <is>
          <t>Poder Executivo</t>
        </is>
      </c>
      <c r="C20" s="7" t="n">
        <v>1</v>
      </c>
      <c r="D20" s="7" t="inlineStr">
        <is>
          <t>7</t>
        </is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9" t="n"/>
    </row>
    <row r="21">
      <c r="A21" s="20" t="n"/>
      <c r="B21" s="21" t="inlineStr">
        <is>
          <t xml:space="preserve">    6.1 atribuições e responsabilidades do presidente da República</t>
        </is>
      </c>
      <c r="C21" s="20" t="n"/>
      <c r="D21" s="22" t="inlineStr">
        <is>
          <t>7</t>
        </is>
      </c>
    </row>
    <row r="22">
      <c r="A22" s="7" t="inlineStr">
        <is>
          <t>7</t>
        </is>
      </c>
      <c r="B22" s="17" t="inlineStr">
        <is>
          <t>Poder Legislativo</t>
        </is>
      </c>
      <c r="C22" s="7" t="n">
        <v>2</v>
      </c>
      <c r="D22" s="7" t="inlineStr">
        <is>
          <t>8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9" t="n"/>
    </row>
    <row r="23">
      <c r="A23" s="20" t="n"/>
      <c r="B23" s="21" t="inlineStr">
        <is>
          <t xml:space="preserve">    7.1 estrutura</t>
        </is>
      </c>
      <c r="C23" s="20" t="n"/>
      <c r="D23" s="25" t="inlineStr">
        <is>
          <t>(8)</t>
        </is>
      </c>
    </row>
    <row r="24">
      <c r="A24" s="20" t="n"/>
      <c r="B24" s="21" t="inlineStr">
        <is>
          <t xml:space="preserve">    7.2 funcionamento e atribuições</t>
        </is>
      </c>
      <c r="C24" s="20" t="n"/>
      <c r="D24" s="25" t="inlineStr">
        <is>
          <t>(8)</t>
        </is>
      </c>
    </row>
    <row r="25">
      <c r="A25" s="20" t="n"/>
      <c r="B25" s="21" t="inlineStr">
        <is>
          <t xml:space="preserve">    7.3 processo legislativo</t>
        </is>
      </c>
      <c r="C25" s="20" t="n"/>
      <c r="D25" s="25" t="inlineStr">
        <is>
          <t>(8)</t>
        </is>
      </c>
    </row>
    <row r="26">
      <c r="A26" s="20" t="n"/>
      <c r="B26" s="21" t="inlineStr">
        <is>
          <t xml:space="preserve">    7.4 fiscalização contábil, financeira e orçamentária</t>
        </is>
      </c>
      <c r="C26" s="20" t="n"/>
      <c r="D26" s="22" t="inlineStr">
        <is>
          <t>8</t>
        </is>
      </c>
    </row>
    <row r="27">
      <c r="A27" s="20" t="n"/>
      <c r="B27" s="21" t="inlineStr">
        <is>
          <t xml:space="preserve">    7.5 comissões parlamentares de inquérito</t>
        </is>
      </c>
      <c r="C27" s="20" t="n"/>
      <c r="D27" s="25" t="inlineStr">
        <is>
          <t>(8)</t>
        </is>
      </c>
    </row>
    <row r="28">
      <c r="A28" s="7" t="inlineStr">
        <is>
          <t>8</t>
        </is>
      </c>
      <c r="B28" s="17" t="inlineStr">
        <is>
          <t>Poder Judiciário</t>
        </is>
      </c>
      <c r="C28" s="7" t="n">
        <v>1</v>
      </c>
      <c r="D28" s="7" t="inlineStr">
        <is>
          <t>9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9" t="n"/>
    </row>
    <row r="29">
      <c r="A29" s="20" t="n"/>
      <c r="B29" s="21" t="inlineStr">
        <is>
          <t xml:space="preserve">    8.1 disposições gerais</t>
        </is>
      </c>
      <c r="C29" s="20" t="n"/>
      <c r="D29" s="22" t="inlineStr">
        <is>
          <t>9</t>
        </is>
      </c>
    </row>
    <row r="30">
      <c r="A30" s="20" t="n"/>
      <c r="B30" s="21" t="inlineStr">
        <is>
          <t xml:space="preserve">    8.2 órgãos do Poder Judiciário</t>
        </is>
      </c>
      <c r="C30" s="20" t="n"/>
      <c r="D30" s="22" t="inlineStr">
        <is>
          <t>9</t>
        </is>
      </c>
    </row>
    <row r="31">
      <c r="A31" s="7" t="inlineStr">
        <is>
          <t>9</t>
        </is>
      </c>
      <c r="B31" s="17" t="inlineStr">
        <is>
          <t>Funções essenciais à justiça</t>
        </is>
      </c>
      <c r="C31" s="7" t="n">
        <v>1</v>
      </c>
      <c r="D31" s="7" t="inlineStr">
        <is>
          <t>10</t>
        </is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9" t="n"/>
    </row>
    <row r="32">
      <c r="A32" s="20" t="n"/>
      <c r="B32" s="21" t="inlineStr">
        <is>
          <t xml:space="preserve">    9.1 Ministério Público</t>
        </is>
      </c>
      <c r="C32" s="20" t="n"/>
      <c r="D32" s="22" t="inlineStr">
        <is>
          <t>10</t>
        </is>
      </c>
    </row>
    <row r="33">
      <c r="A33" s="20" t="n"/>
      <c r="B33" s="21" t="inlineStr">
        <is>
          <t xml:space="preserve">    9.2 advocacia pública</t>
        </is>
      </c>
      <c r="C33" s="20" t="n"/>
      <c r="D33" s="22" t="inlineStr">
        <is>
          <t>10</t>
        </is>
      </c>
    </row>
    <row r="34">
      <c r="A34" s="20" t="n"/>
      <c r="B34" s="21" t="inlineStr">
        <is>
          <t xml:space="preserve">    9.3 Defensoria Pública</t>
        </is>
      </c>
      <c r="C34" s="20" t="n"/>
      <c r="D34" s="22" t="inlineStr">
        <is>
          <t>10</t>
        </is>
      </c>
    </row>
    <row r="37">
      <c r="A37" s="9" t="inlineStr">
        <is>
          <t>REGISTRO DOS SIMULADOS DESTA MATÉRIA</t>
        </is>
      </c>
    </row>
    <row r="38">
      <c r="A38" s="3" t="inlineStr">
        <is>
          <t>Filtro</t>
        </is>
      </c>
      <c r="B38" s="3" t="inlineStr">
        <is>
          <t>Data</t>
        </is>
      </c>
      <c r="C38" s="3" t="inlineStr">
        <is>
          <t>Total</t>
        </is>
      </c>
      <c r="D38" s="3" t="inlineStr">
        <is>
          <t>Acertos</t>
        </is>
      </c>
      <c r="E38" s="3" t="inlineStr">
        <is>
          <t>Erros</t>
        </is>
      </c>
      <c r="F38" s="3" t="inlineStr">
        <is>
          <t>% Bruto</t>
        </is>
      </c>
      <c r="G38" s="3" t="inlineStr">
        <is>
          <t>% Líquido</t>
        </is>
      </c>
      <c r="H38" s="3" t="inlineStr">
        <is>
          <t>Veredito</t>
        </is>
      </c>
    </row>
    <row r="39">
      <c r="A39" s="13" t="inlineStr">
        <is>
          <t>exemplo — apague ou ignore</t>
        </is>
      </c>
      <c r="B39" s="13" t="inlineStr">
        <is>
          <t>15/09/2026</t>
        </is>
      </c>
      <c r="C39" s="13" t="n">
        <v>20</v>
      </c>
      <c r="D39" s="13" t="n">
        <v>18</v>
      </c>
      <c r="E39" s="13" t="n">
        <v>2</v>
      </c>
      <c r="F39" s="23">
        <f>IFERROR(D39/C39,"")</f>
        <v/>
      </c>
      <c r="G39" s="23">
        <f>IFERROR((D39-E39)/C39,"")</f>
        <v/>
      </c>
      <c r="H39" s="13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  <row r="44">
      <c r="A44" s="19" t="n"/>
      <c r="B44" s="19" t="n"/>
      <c r="C44" s="19" t="n"/>
      <c r="D44" s="19" t="n"/>
      <c r="E44" s="19" t="n"/>
      <c r="F44" s="24">
        <f>IFERROR(D44/C44,"")</f>
        <v/>
      </c>
      <c r="G44" s="24">
        <f>IFERROR((D44-E44)/C44,"")</f>
        <v/>
      </c>
      <c r="H44" s="20">
        <f>IF(N(C44)=0,"",IF(D44/C44&gt;=0.9,"VENCEU","REPETE"))</f>
        <v/>
      </c>
    </row>
    <row r="45">
      <c r="A45" s="19" t="n"/>
      <c r="B45" s="19" t="n"/>
      <c r="C45" s="19" t="n"/>
      <c r="D45" s="19" t="n"/>
      <c r="E45" s="19" t="n"/>
      <c r="F45" s="24">
        <f>IFERROR(D45/C45,"")</f>
        <v/>
      </c>
      <c r="G45" s="24">
        <f>IFERROR((D45-E45)/C45,"")</f>
        <v/>
      </c>
      <c r="H45" s="20">
        <f>IF(N(C45)=0,"",IF(D45/C45&gt;=0.9,"VENCEU","REPETE"))</f>
        <v/>
      </c>
    </row>
    <row r="46">
      <c r="A46" s="19" t="n"/>
      <c r="B46" s="19" t="n"/>
      <c r="C46" s="19" t="n"/>
      <c r="D46" s="19" t="n"/>
      <c r="E46" s="19" t="n"/>
      <c r="F46" s="24">
        <f>IFERROR(D46/C46,"")</f>
        <v/>
      </c>
      <c r="G46" s="24">
        <f>IFERROR((D46-E46)/C46,"")</f>
        <v/>
      </c>
      <c r="H46" s="20">
        <f>IF(N(C46)=0,"",IF(D46/C46&gt;=0.9,"VENCEU","REPETE"))</f>
        <v/>
      </c>
    </row>
    <row r="47">
      <c r="A47" s="19" t="n"/>
      <c r="B47" s="19" t="n"/>
      <c r="C47" s="19" t="n"/>
      <c r="D47" s="19" t="n"/>
      <c r="E47" s="19" t="n"/>
      <c r="F47" s="24">
        <f>IFERROR(D47/C47,"")</f>
        <v/>
      </c>
      <c r="G47" s="24">
        <f>IFERROR((D47-E47)/C47,"")</f>
        <v/>
      </c>
      <c r="H47" s="20">
        <f>IF(N(C47)=0,"",IF(D47/C47&gt;=0.9,"VENCEU","REPETE"))</f>
        <v/>
      </c>
    </row>
    <row r="48">
      <c r="A48" s="19" t="n"/>
      <c r="B48" s="19" t="n"/>
      <c r="C48" s="19" t="n"/>
      <c r="D48" s="19" t="n"/>
      <c r="E48" s="19" t="n"/>
      <c r="F48" s="24">
        <f>IFERROR(D48/C48,"")</f>
        <v/>
      </c>
      <c r="G48" s="24">
        <f>IFERROR((D48-E48)/C48,"")</f>
        <v/>
      </c>
      <c r="H48" s="20">
        <f>IF(N(C48)=0,"",IF(D48/C48&gt;=0.9,"VENCEU","REPETE"))</f>
        <v/>
      </c>
    </row>
    <row r="49">
      <c r="A49" s="19" t="n"/>
      <c r="B49" s="19" t="n"/>
      <c r="C49" s="19" t="n"/>
      <c r="D49" s="19" t="n"/>
      <c r="E49" s="19" t="n"/>
      <c r="F49" s="24">
        <f>IFERROR(D49/C49,"")</f>
        <v/>
      </c>
      <c r="G49" s="24">
        <f>IFERROR((D49-E49)/C49,"")</f>
        <v/>
      </c>
      <c r="H49" s="20">
        <f>IF(N(C49)=0,"",IF(D49/C49&gt;=0.9,"VENCEU","REPETE"))</f>
        <v/>
      </c>
    </row>
    <row r="50">
      <c r="A50" s="19" t="n"/>
      <c r="B50" s="19" t="n"/>
      <c r="C50" s="19" t="n"/>
      <c r="D50" s="19" t="n"/>
      <c r="E50" s="19" t="n"/>
      <c r="F50" s="24">
        <f>IFERROR(D50/C50,"")</f>
        <v/>
      </c>
      <c r="G50" s="24">
        <f>IFERROR((D50-E50)/C50,"")</f>
        <v/>
      </c>
      <c r="H50" s="20">
        <f>IF(N(C50)=0,"",IF(D50/C50&gt;=0.9,"VENCEU","REPETE"))</f>
        <v/>
      </c>
    </row>
    <row r="51">
      <c r="A51" s="19" t="n"/>
      <c r="B51" s="19" t="n"/>
      <c r="C51" s="19" t="n"/>
      <c r="D51" s="19" t="n"/>
      <c r="E51" s="19" t="n"/>
      <c r="F51" s="24">
        <f>IFERROR(D51/C51,"")</f>
        <v/>
      </c>
      <c r="G51" s="24">
        <f>IFERROR((D51-E51)/C51,"")</f>
        <v/>
      </c>
      <c r="H51" s="20">
        <f>IF(N(C51)=0,"",IF(D51/C51&gt;=0.9,"VENCEU","REPETE"))</f>
        <v/>
      </c>
    </row>
    <row r="52">
      <c r="A52" s="19" t="n"/>
      <c r="B52" s="19" t="n"/>
      <c r="C52" s="19" t="n"/>
      <c r="D52" s="19" t="n"/>
      <c r="E52" s="19" t="n"/>
      <c r="F52" s="24">
        <f>IFERROR(D52/C52,"")</f>
        <v/>
      </c>
      <c r="G52" s="24">
        <f>IFERROR((D52-E52)/C52,"")</f>
        <v/>
      </c>
      <c r="H52" s="20">
        <f>IF(N(C52)=0,"",IF(D52/C52&gt;=0.9,"VENCEU","REPETE"))</f>
        <v/>
      </c>
    </row>
    <row r="53">
      <c r="A53" s="19" t="n"/>
      <c r="B53" s="19" t="n"/>
      <c r="C53" s="19" t="n"/>
      <c r="D53" s="19" t="n"/>
      <c r="E53" s="19" t="n"/>
      <c r="F53" s="24">
        <f>IFERROR(D53/C53,"")</f>
        <v/>
      </c>
      <c r="G53" s="24">
        <f>IFERROR((D53-E53)/C53,"")</f>
        <v/>
      </c>
      <c r="H53" s="20">
        <f>IF(N(C53)=0,"",IF(D53/C53&gt;=0.9,"VENCEU","REPETE"))</f>
        <v/>
      </c>
    </row>
    <row r="54">
      <c r="A54" s="19" t="n"/>
      <c r="B54" s="19" t="n"/>
      <c r="C54" s="19" t="n"/>
      <c r="D54" s="19" t="n"/>
      <c r="E54" s="19" t="n"/>
      <c r="F54" s="24">
        <f>IFERROR(D54/C54,"")</f>
        <v/>
      </c>
      <c r="G54" s="24">
        <f>IFERROR((D54-E54)/C54,"")</f>
        <v/>
      </c>
      <c r="H54" s="20">
        <f>IF(N(C54)=0,"",IF(D54/C54&gt;=0.9,"VENCEU","REPETE"))</f>
        <v/>
      </c>
    </row>
    <row r="55">
      <c r="A55" s="19" t="n"/>
      <c r="B55" s="19" t="n"/>
      <c r="C55" s="19" t="n"/>
      <c r="D55" s="19" t="n"/>
      <c r="E55" s="19" t="n"/>
      <c r="F55" s="24">
        <f>IFERROR(D55/C55,"")</f>
        <v/>
      </c>
      <c r="G55" s="24">
        <f>IFERROR((D55-E55)/C55,"")</f>
        <v/>
      </c>
      <c r="H55" s="20">
        <f>IF(N(C55)=0,"",IF(D55/C55&gt;=0.9,"VENCEU","REPETE"))</f>
        <v/>
      </c>
    </row>
    <row r="56">
      <c r="A56" s="19" t="n"/>
      <c r="B56" s="19" t="n"/>
      <c r="C56" s="19" t="n"/>
      <c r="D56" s="19" t="n"/>
      <c r="E56" s="19" t="n"/>
      <c r="F56" s="24">
        <f>IFERROR(D56/C56,"")</f>
        <v/>
      </c>
      <c r="G56" s="24">
        <f>IFERROR((D56-E56)/C56,"")</f>
        <v/>
      </c>
      <c r="H56" s="20">
        <f>IF(N(C56)=0,"",IF(D56/C56&gt;=0.9,"VENCEU","REPETE"))</f>
        <v/>
      </c>
    </row>
    <row r="57">
      <c r="A57" s="19" t="n"/>
      <c r="B57" s="19" t="n"/>
      <c r="C57" s="19" t="n"/>
      <c r="D57" s="19" t="n"/>
      <c r="E57" s="19" t="n"/>
      <c r="F57" s="24">
        <f>IFERROR(D57/C57,"")</f>
        <v/>
      </c>
      <c r="G57" s="24">
        <f>IFERROR((D57-E57)/C57,"")</f>
        <v/>
      </c>
      <c r="H57" s="20">
        <f>IF(N(C57)=0,"",IF(D57/C57&gt;=0.9,"VENCEU","REPETE"))</f>
        <v/>
      </c>
    </row>
    <row r="58">
      <c r="A58" s="19" t="n"/>
      <c r="B58" s="19" t="n"/>
      <c r="C58" s="19" t="n"/>
      <c r="D58" s="19" t="n"/>
      <c r="E58" s="19" t="n"/>
      <c r="F58" s="24">
        <f>IFERROR(D58/C58,"")</f>
        <v/>
      </c>
      <c r="G58" s="24">
        <f>IFERROR((D58-E58)/C58,"")</f>
        <v/>
      </c>
      <c r="H58" s="20">
        <f>IF(N(C58)=0,"",IF(D58/C58&gt;=0.9,"VENCEU","REPETE"))</f>
        <v/>
      </c>
    </row>
    <row r="59">
      <c r="A59" s="19" t="n"/>
      <c r="B59" s="19" t="n"/>
      <c r="C59" s="19" t="n"/>
      <c r="D59" s="19" t="n"/>
      <c r="E59" s="19" t="n"/>
      <c r="F59" s="24">
        <f>IFERROR(D59/C59,"")</f>
        <v/>
      </c>
      <c r="G59" s="24">
        <f>IFERROR((D59-E59)/C59,"")</f>
        <v/>
      </c>
      <c r="H59" s="20">
        <f>IF(N(C59)=0,"",IF(D59/C59&gt;=0.9,"VENCEU","REPETE"))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D28D9"/>
    <outlinePr summaryBelow="1" summaryRight="1"/>
    <pageSetUpPr/>
  </sheetPr>
  <dimension ref="A1:M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Lei Orgânica do TCDF e Regimento Interno</t>
        </is>
      </c>
      <c r="E1" s="11" t="inlineStr">
        <is>
          <t>Bloco P2 · Quarta-feira · 2 tópicos · 10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Lei Orgânica do TCDF</t>
        </is>
      </c>
      <c r="C8" s="7" t="n">
        <v>5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natureza, competência e jurisdição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composição</t>
        </is>
      </c>
      <c r="C10" s="20" t="n"/>
      <c r="D10" s="25" t="inlineStr">
        <is>
          <t>(2)</t>
        </is>
      </c>
    </row>
    <row r="11">
      <c r="A11" s="20" t="n"/>
      <c r="B11" s="21" t="inlineStr">
        <is>
          <t xml:space="preserve">    1.3 Plenário e câmaras</t>
        </is>
      </c>
      <c r="C11" s="20" t="n"/>
      <c r="D11" s="25" t="inlineStr">
        <is>
          <t>(2)</t>
        </is>
      </c>
    </row>
    <row r="12">
      <c r="A12" s="20" t="n"/>
      <c r="B12" s="21" t="inlineStr">
        <is>
          <t xml:space="preserve">    1.4 presidente, vice-presidente, conselheiros, auditores e Ministério Público</t>
        </is>
      </c>
      <c r="C12" s="20" t="n"/>
      <c r="D12" s="25" t="inlineStr">
        <is>
          <t>(2)</t>
        </is>
      </c>
    </row>
    <row r="13">
      <c r="A13" s="20" t="n"/>
      <c r="B13" s="21" t="inlineStr">
        <is>
          <t xml:space="preserve">    1.5 serviços auxiliares do TCDF</t>
        </is>
      </c>
      <c r="C13" s="20" t="n"/>
      <c r="D13" s="22" t="inlineStr">
        <is>
          <t>2</t>
        </is>
      </c>
    </row>
    <row r="14">
      <c r="A14" s="7" t="inlineStr">
        <is>
          <t>2</t>
        </is>
      </c>
      <c r="B14" s="17" t="inlineStr">
        <is>
          <t>Regimento Interno do TCDF</t>
        </is>
      </c>
      <c r="C14" s="7" t="n">
        <v>5</v>
      </c>
      <c r="D14" s="7" t="inlineStr">
        <is>
          <t>3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</row>
    <row r="15">
      <c r="A15" s="20" t="n"/>
      <c r="B15" s="21" t="inlineStr">
        <is>
          <t xml:space="preserve">    2.1 Resolução nº 296/2016, títulos I, II e III (art. 1º a 116)</t>
        </is>
      </c>
      <c r="C15" s="20" t="n"/>
      <c r="D15" s="22" t="inlineStr">
        <is>
          <t>3</t>
        </is>
      </c>
    </row>
    <row r="16">
      <c r="A16" s="20" t="n"/>
      <c r="B16" s="21" t="inlineStr">
        <is>
          <t xml:space="preserve">    Título I — Da organização e do funcionamento do Tribunal (subdivisão sugerida)</t>
        </is>
      </c>
      <c r="C16" s="20" t="n"/>
      <c r="D16" s="22" t="inlineStr"/>
    </row>
    <row r="17">
      <c r="A17" s="20" t="n"/>
      <c r="B17" s="21" t="inlineStr">
        <is>
          <t xml:space="preserve">    Título II — Da competência e da jurisdição (subdivisão sugerida)</t>
        </is>
      </c>
      <c r="C17" s="20" t="n"/>
      <c r="D17" s="22" t="inlineStr"/>
    </row>
    <row r="18">
      <c r="A18" s="20" t="n"/>
      <c r="B18" s="21" t="inlineStr">
        <is>
          <t xml:space="preserve">    Título III — Dos processos: instauração, instrução, julgamento e recursos (até o art. 116) (subdivisão sugerida)</t>
        </is>
      </c>
      <c r="C18" s="20" t="n"/>
      <c r="D18" s="22" t="inlineStr"/>
    </row>
    <row r="21">
      <c r="A21" s="9" t="inlineStr">
        <is>
          <t>REGISTRO DOS SIMULADOS DESTA MATÉRIA</t>
        </is>
      </c>
    </row>
    <row r="22">
      <c r="A22" s="3" t="inlineStr">
        <is>
          <t>Filtro</t>
        </is>
      </c>
      <c r="B22" s="3" t="inlineStr">
        <is>
          <t>Data</t>
        </is>
      </c>
      <c r="C22" s="3" t="inlineStr">
        <is>
          <t>Total</t>
        </is>
      </c>
      <c r="D22" s="3" t="inlineStr">
        <is>
          <t>Acertos</t>
        </is>
      </c>
      <c r="E22" s="3" t="inlineStr">
        <is>
          <t>Erros</t>
        </is>
      </c>
      <c r="F22" s="3" t="inlineStr">
        <is>
          <t>% Bruto</t>
        </is>
      </c>
      <c r="G22" s="3" t="inlineStr">
        <is>
          <t>% Líquido</t>
        </is>
      </c>
      <c r="H22" s="3" t="inlineStr">
        <is>
          <t>Veredito</t>
        </is>
      </c>
    </row>
    <row r="23">
      <c r="A23" s="13" t="inlineStr">
        <is>
          <t>exemplo — apague ou ignore</t>
        </is>
      </c>
      <c r="B23" s="13" t="inlineStr">
        <is>
          <t>15/09/2026</t>
        </is>
      </c>
      <c r="C23" s="13" t="n">
        <v>20</v>
      </c>
      <c r="D23" s="13" t="n">
        <v>18</v>
      </c>
      <c r="E23" s="13" t="n">
        <v>2</v>
      </c>
      <c r="F23" s="23">
        <f>IFERROR(D23/C23,"")</f>
        <v/>
      </c>
      <c r="G23" s="23">
        <f>IFERROR((D23-E23)/C23,"")</f>
        <v/>
      </c>
      <c r="H23" s="13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D28D9"/>
    <outlinePr summaryBelow="1" summaryRight="1"/>
    <pageSetUpPr/>
  </sheetPr>
  <dimension ref="A1:M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Lei Orgânica do Distrito Federal</t>
        </is>
      </c>
      <c r="E1" s="11" t="inlineStr">
        <is>
          <t>Bloco P1 · Quarta-feira · 5 tópicos · 6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Fundamentos da organização dos poderes e do Distrito Federal</t>
        </is>
      </c>
      <c r="C8" s="7" t="n">
        <v>1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7" t="inlineStr">
        <is>
          <t>2</t>
        </is>
      </c>
      <c r="B9" s="17" t="inlineStr">
        <is>
          <t>Organização do Distrito Federal</t>
        </is>
      </c>
      <c r="C9" s="7" t="n">
        <v>1</v>
      </c>
      <c r="D9" s="7" t="inlineStr">
        <is>
          <t>2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9" t="n"/>
    </row>
    <row r="10">
      <c r="A10" s="7" t="inlineStr">
        <is>
          <t>3</t>
        </is>
      </c>
      <c r="B10" s="17" t="inlineStr">
        <is>
          <t>Organização dos poderes</t>
        </is>
      </c>
      <c r="C10" s="7" t="n">
        <v>2</v>
      </c>
      <c r="D10" s="7" t="inlineStr">
        <is>
          <t>2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9" t="n"/>
    </row>
    <row r="11">
      <c r="A11" s="7" t="inlineStr">
        <is>
          <t>4</t>
        </is>
      </c>
      <c r="B11" s="17" t="inlineStr">
        <is>
          <t>Tributação e orçamento do Distrito Federal</t>
        </is>
      </c>
      <c r="C11" s="7" t="n">
        <v>1</v>
      </c>
      <c r="D11" s="7" t="inlineStr">
        <is>
          <t>2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7" t="inlineStr">
        <is>
          <t>5</t>
        </is>
      </c>
      <c r="B12" s="17" t="inlineStr">
        <is>
          <t>Ordem econômica do Distrito Federal</t>
        </is>
      </c>
      <c r="C12" s="7" t="n">
        <v>1</v>
      </c>
      <c r="D12" s="7" t="inlineStr">
        <is>
          <t>2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9" t="n"/>
    </row>
    <row r="15">
      <c r="A15" s="9" t="inlineStr">
        <is>
          <t>REGISTRO DOS SIMULADOS DESTA MATÉRIA</t>
        </is>
      </c>
    </row>
    <row r="16">
      <c r="A16" s="3" t="inlineStr">
        <is>
          <t>Filtro</t>
        </is>
      </c>
      <c r="B16" s="3" t="inlineStr">
        <is>
          <t>Data</t>
        </is>
      </c>
      <c r="C16" s="3" t="inlineStr">
        <is>
          <t>Total</t>
        </is>
      </c>
      <c r="D16" s="3" t="inlineStr">
        <is>
          <t>Acertos</t>
        </is>
      </c>
      <c r="E16" s="3" t="inlineStr">
        <is>
          <t>Erros</t>
        </is>
      </c>
      <c r="F16" s="3" t="inlineStr">
        <is>
          <t>% Bruto</t>
        </is>
      </c>
      <c r="G16" s="3" t="inlineStr">
        <is>
          <t>% Líquido</t>
        </is>
      </c>
      <c r="H16" s="3" t="inlineStr">
        <is>
          <t>Veredito</t>
        </is>
      </c>
    </row>
    <row r="17">
      <c r="A17" s="13" t="inlineStr">
        <is>
          <t>exemplo — apague ou ignore</t>
        </is>
      </c>
      <c r="B17" s="13" t="inlineStr">
        <is>
          <t>15/09/2026</t>
        </is>
      </c>
      <c r="C17" s="13" t="n">
        <v>20</v>
      </c>
      <c r="D17" s="13" t="n">
        <v>18</v>
      </c>
      <c r="E17" s="13" t="n">
        <v>2</v>
      </c>
      <c r="F17" s="23">
        <f>IFERROR(D17/C17,"")</f>
        <v/>
      </c>
      <c r="G17" s="23">
        <f>IFERROR((D17-E17)/C17,"")</f>
        <v/>
      </c>
      <c r="H17" s="13">
        <f>IF(N(C17)=0,"",IF(D17/C17&gt;=0.9,"VENCEU","REPETE"))</f>
        <v/>
      </c>
    </row>
    <row r="18">
      <c r="A18" s="19" t="n"/>
      <c r="B18" s="19" t="n"/>
      <c r="C18" s="19" t="n"/>
      <c r="D18" s="19" t="n"/>
      <c r="E18" s="19" t="n"/>
      <c r="F18" s="24">
        <f>IFERROR(D18/C18,"")</f>
        <v/>
      </c>
      <c r="G18" s="24">
        <f>IFERROR((D18-E18)/C18,"")</f>
        <v/>
      </c>
      <c r="H18" s="20">
        <f>IF(N(C18)=0,"",IF(D18/C18&gt;=0.9,"VENCEU","REPETE"))</f>
        <v/>
      </c>
    </row>
    <row r="19">
      <c r="A19" s="19" t="n"/>
      <c r="B19" s="19" t="n"/>
      <c r="C19" s="19" t="n"/>
      <c r="D19" s="19" t="n"/>
      <c r="E19" s="19" t="n"/>
      <c r="F19" s="24">
        <f>IFERROR(D19/C19,"")</f>
        <v/>
      </c>
      <c r="G19" s="24">
        <f>IFERROR((D19-E19)/C19,"")</f>
        <v/>
      </c>
      <c r="H19" s="20">
        <f>IF(N(C19)=0,"",IF(D19/C19&gt;=0.9,"VENCEU","REPETE"))</f>
        <v/>
      </c>
    </row>
    <row r="20">
      <c r="A20" s="19" t="n"/>
      <c r="B20" s="19" t="n"/>
      <c r="C20" s="19" t="n"/>
      <c r="D20" s="19" t="n"/>
      <c r="E20" s="19" t="n"/>
      <c r="F20" s="24">
        <f>IFERROR(D20/C20,"")</f>
        <v/>
      </c>
      <c r="G20" s="24">
        <f>IFERROR((D20-E20)/C20,"")</f>
        <v/>
      </c>
      <c r="H20" s="20">
        <f>IF(N(C20)=0,"",IF(D20/C20&gt;=0.9,"VENCEU","REPETE"))</f>
        <v/>
      </c>
    </row>
    <row r="21">
      <c r="A21" s="19" t="n"/>
      <c r="B21" s="19" t="n"/>
      <c r="C21" s="19" t="n"/>
      <c r="D21" s="19" t="n"/>
      <c r="E21" s="19" t="n"/>
      <c r="F21" s="24">
        <f>IFERROR(D21/C21,"")</f>
        <v/>
      </c>
      <c r="G21" s="24">
        <f>IFERROR((D21-E21)/C21,"")</f>
        <v/>
      </c>
      <c r="H21" s="20">
        <f>IF(N(C21)=0,"",IF(D21/C21&gt;=0.9,"VENCEU","REPETE"))</f>
        <v/>
      </c>
    </row>
    <row r="22">
      <c r="A22" s="19" t="n"/>
      <c r="B22" s="19" t="n"/>
      <c r="C22" s="19" t="n"/>
      <c r="D22" s="19" t="n"/>
      <c r="E22" s="19" t="n"/>
      <c r="F22" s="24">
        <f>IFERROR(D22/C22,"")</f>
        <v/>
      </c>
      <c r="G22" s="24">
        <f>IFERROR((D22-E22)/C22,"")</f>
        <v/>
      </c>
      <c r="H22" s="20">
        <f>IF(N(C22)=0,"",IF(D22/C22&gt;=0.9,"VENCEU","REPETE"))</f>
        <v/>
      </c>
    </row>
    <row r="23">
      <c r="A23" s="19" t="n"/>
      <c r="B23" s="19" t="n"/>
      <c r="C23" s="19" t="n"/>
      <c r="D23" s="19" t="n"/>
      <c r="E23" s="19" t="n"/>
      <c r="F23" s="24">
        <f>IFERROR(D23/C23,"")</f>
        <v/>
      </c>
      <c r="G23" s="24">
        <f>IFERROR((D23-E23)/C23,"")</f>
        <v/>
      </c>
      <c r="H23" s="20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D28D9"/>
    <outlinePr summaryBelow="1" summaryRight="1"/>
    <pageSetUpPr/>
  </sheetPr>
  <dimension ref="A1:M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Administração Geral e Pública</t>
        </is>
      </c>
      <c r="E1" s="11" t="inlineStr">
        <is>
          <t>Bloco P3 · Quinta-feira · 9 tópicos · 15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Evolução da administração</t>
        </is>
      </c>
      <c r="C8" s="7" t="n">
        <v>2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perspectiva clássica (administração científica, organizações burocráticas)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perspectiva humanista (movimento das relações humanas, perspectiva dos recursos humanos, abordagem das ciências comportamentais)</t>
        </is>
      </c>
      <c r="C10" s="20" t="n"/>
      <c r="D10" s="22" t="inlineStr">
        <is>
          <t>2</t>
        </is>
      </c>
    </row>
    <row r="11">
      <c r="A11" s="20" t="n"/>
      <c r="B11" s="21" t="inlineStr">
        <is>
          <t xml:space="preserve">    1.3 ciência administrativa (pensamento sistêmico, teoria da contingência)</t>
        </is>
      </c>
      <c r="C11" s="20" t="n"/>
      <c r="D11" s="22" t="inlineStr">
        <is>
          <t>2</t>
        </is>
      </c>
    </row>
    <row r="12">
      <c r="A12" s="7" t="inlineStr">
        <is>
          <t>2</t>
        </is>
      </c>
      <c r="B12" s="17" t="inlineStr">
        <is>
          <t>Evolução da administração do setor público brasileiro</t>
        </is>
      </c>
      <c r="C12" s="7" t="n">
        <v>1</v>
      </c>
      <c r="D12" s="7" t="inlineStr">
        <is>
          <t>5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9" t="n"/>
    </row>
    <row r="13">
      <c r="A13" s="20" t="n"/>
      <c r="B13" s="21" t="inlineStr">
        <is>
          <t xml:space="preserve">    2.1 estrutura organizacional do Estado: três poderes</t>
        </is>
      </c>
      <c r="C13" s="20" t="n"/>
      <c r="D13" s="22" t="inlineStr">
        <is>
          <t>5</t>
        </is>
      </c>
    </row>
    <row r="14">
      <c r="A14" s="20" t="n"/>
      <c r="B14" s="21" t="inlineStr">
        <is>
          <t xml:space="preserve">    2.2 formas de administração pública</t>
        </is>
      </c>
      <c r="C14" s="20" t="n"/>
      <c r="D14" s="22" t="inlineStr">
        <is>
          <t>5</t>
        </is>
      </c>
    </row>
    <row r="15">
      <c r="A15" s="7" t="inlineStr">
        <is>
          <t>3</t>
        </is>
      </c>
      <c r="B15" s="17" t="inlineStr">
        <is>
          <t>Administração pública patrimonialista</t>
        </is>
      </c>
      <c r="C15" s="7" t="n">
        <v>2</v>
      </c>
      <c r="D15" s="7" t="inlineStr">
        <is>
          <t>5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9" t="n"/>
    </row>
    <row r="16">
      <c r="A16" s="20" t="n"/>
      <c r="B16" s="21" t="inlineStr">
        <is>
          <t xml:space="preserve">    3.1 administração pública burocrática</t>
        </is>
      </c>
      <c r="C16" s="20" t="n"/>
      <c r="D16" s="22" t="inlineStr">
        <is>
          <t>5</t>
        </is>
      </c>
    </row>
    <row r="17">
      <c r="A17" s="20" t="n"/>
      <c r="B17" s="21" t="inlineStr">
        <is>
          <t xml:space="preserve">    3.2 administração pública gerencial</t>
        </is>
      </c>
      <c r="C17" s="20" t="n"/>
      <c r="D17" s="22" t="inlineStr">
        <is>
          <t>5</t>
        </is>
      </c>
    </row>
    <row r="18">
      <c r="A18" s="7" t="inlineStr">
        <is>
          <t>4</t>
        </is>
      </c>
      <c r="B18" s="17" t="inlineStr">
        <is>
          <t>Governança</t>
        </is>
      </c>
      <c r="C18" s="7" t="n">
        <v>3</v>
      </c>
      <c r="D18" s="7" t="inlineStr">
        <is>
          <t>6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</row>
    <row r="19">
      <c r="A19" s="20" t="n"/>
      <c r="B19" s="21" t="inlineStr">
        <is>
          <t xml:space="preserve">    4.1 princípios da governança pública (capacidade de resposta, integridade, confiabilidade, melhoria regulatória, transparência, prestação de contas e responsabilidades)</t>
        </is>
      </c>
      <c r="C19" s="20" t="n"/>
      <c r="D19" s="22" t="inlineStr">
        <is>
          <t>6</t>
        </is>
      </c>
    </row>
    <row r="20">
      <c r="A20" s="20" t="n"/>
      <c r="B20" s="21" t="inlineStr">
        <is>
          <t xml:space="preserve">    4.2 práticas e mecanismos de governança pública (liderança, estratégia, controle)</t>
        </is>
      </c>
      <c r="C20" s="20" t="n"/>
      <c r="D20" s="22" t="inlineStr">
        <is>
          <t>6</t>
        </is>
      </c>
    </row>
    <row r="21">
      <c r="A21" s="7" t="inlineStr">
        <is>
          <t>5</t>
        </is>
      </c>
      <c r="B21" s="17" t="inlineStr">
        <is>
          <t>Funções administrativas: planejamento, organização, direção e controle</t>
        </is>
      </c>
      <c r="C21" s="7" t="n">
        <v>1</v>
      </c>
      <c r="D21" s="7" t="inlineStr">
        <is>
          <t>2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9" t="n"/>
    </row>
    <row r="22">
      <c r="A22" s="7" t="inlineStr">
        <is>
          <t>6</t>
        </is>
      </c>
      <c r="B22" s="17" t="inlineStr">
        <is>
          <t>Ferramentas da administração</t>
        </is>
      </c>
      <c r="C22" s="7" t="n">
        <v>2</v>
      </c>
      <c r="D22" s="7" t="inlineStr">
        <is>
          <t>3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9" t="n"/>
    </row>
    <row r="23">
      <c r="A23" s="20" t="n"/>
      <c r="B23" s="21" t="inlineStr">
        <is>
          <t xml:space="preserve">    6.1 análise SWOT</t>
        </is>
      </c>
      <c r="C23" s="20" t="n"/>
      <c r="D23" s="22" t="inlineStr">
        <is>
          <t>3</t>
        </is>
      </c>
    </row>
    <row r="24">
      <c r="A24" s="20" t="n"/>
      <c r="B24" s="21" t="inlineStr">
        <is>
          <t xml:space="preserve">    6.2 matriz GUT</t>
        </is>
      </c>
      <c r="C24" s="20" t="n"/>
      <c r="D24" s="22" t="inlineStr">
        <is>
          <t>3</t>
        </is>
      </c>
    </row>
    <row r="25">
      <c r="A25" s="20" t="n"/>
      <c r="B25" s="21" t="inlineStr">
        <is>
          <t xml:space="preserve">    6.3 5W2H</t>
        </is>
      </c>
      <c r="C25" s="20" t="n"/>
      <c r="D25" s="22" t="inlineStr">
        <is>
          <t>3</t>
        </is>
      </c>
    </row>
    <row r="26">
      <c r="A26" s="20" t="n"/>
      <c r="B26" s="21" t="inlineStr">
        <is>
          <t xml:space="preserve">    6.4 ciclo PDCA</t>
        </is>
      </c>
      <c r="C26" s="20" t="n"/>
      <c r="D26" s="22" t="inlineStr">
        <is>
          <t>3</t>
        </is>
      </c>
    </row>
    <row r="27">
      <c r="A27" s="20" t="n"/>
      <c r="B27" s="21" t="inlineStr">
        <is>
          <t xml:space="preserve">    6.5 mapas estratégicos</t>
        </is>
      </c>
      <c r="C27" s="20" t="n"/>
      <c r="D27" s="22" t="inlineStr">
        <is>
          <t>3</t>
        </is>
      </c>
    </row>
    <row r="28">
      <c r="A28" s="20" t="n"/>
      <c r="B28" s="21" t="inlineStr">
        <is>
          <t xml:space="preserve">    6.6 benchmarking</t>
        </is>
      </c>
      <c r="C28" s="20" t="n"/>
      <c r="D28" s="22" t="inlineStr">
        <is>
          <t>3</t>
        </is>
      </c>
    </row>
    <row r="29">
      <c r="A29" s="20" t="n"/>
      <c r="B29" s="21" t="inlineStr">
        <is>
          <t xml:space="preserve">    6.7 fatores críticos de sucesso</t>
        </is>
      </c>
      <c r="C29" s="20" t="n"/>
      <c r="D29" s="22" t="inlineStr">
        <is>
          <t>3</t>
        </is>
      </c>
    </row>
    <row r="30">
      <c r="A30" s="7" t="inlineStr">
        <is>
          <t>7</t>
        </is>
      </c>
      <c r="B30" s="17" t="inlineStr">
        <is>
          <t>Modelagem de processos</t>
        </is>
      </c>
      <c r="C30" s="7" t="n">
        <v>2</v>
      </c>
      <c r="D30" s="7" t="inlineStr">
        <is>
          <t>3</t>
        </is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9" t="n"/>
    </row>
    <row r="31">
      <c r="A31" s="20" t="n"/>
      <c r="B31" s="21" t="inlineStr">
        <is>
          <t xml:space="preserve">    7.1 propósito da modelagem de processos</t>
        </is>
      </c>
      <c r="C31" s="20" t="n"/>
      <c r="D31" s="22" t="inlineStr">
        <is>
          <t>3</t>
        </is>
      </c>
    </row>
    <row r="32">
      <c r="A32" s="20" t="n"/>
      <c r="B32" s="21" t="inlineStr">
        <is>
          <t xml:space="preserve">    7.2 notações: BPMN, cadeia de processos orientada a eventos (EPC), IDEF0, cadeia de valor</t>
        </is>
      </c>
      <c r="C32" s="20" t="n"/>
      <c r="D32" s="22" t="inlineStr">
        <is>
          <t>3</t>
        </is>
      </c>
    </row>
    <row r="33">
      <c r="A33" s="7" t="inlineStr">
        <is>
          <t>8</t>
        </is>
      </c>
      <c r="B33" s="17" t="inlineStr">
        <is>
          <t>Gestão de pessoas por competências</t>
        </is>
      </c>
      <c r="C33" s="7" t="n">
        <v>1</v>
      </c>
      <c r="D33" s="7" t="inlineStr">
        <is>
          <t>4</t>
        </is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9" t="n"/>
    </row>
    <row r="34">
      <c r="A34" s="20" t="n"/>
      <c r="B34" s="21" t="inlineStr">
        <is>
          <t xml:space="preserve">    8.1 conhecimentos, habilidades e atitudes (CHA)</t>
        </is>
      </c>
      <c r="C34" s="20" t="n"/>
      <c r="D34" s="22" t="inlineStr">
        <is>
          <t>4</t>
        </is>
      </c>
    </row>
    <row r="35">
      <c r="A35" s="20" t="n"/>
      <c r="B35" s="21" t="inlineStr">
        <is>
          <t xml:space="preserve">    8.2 matriz de competência</t>
        </is>
      </c>
      <c r="C35" s="20" t="n"/>
      <c r="D35" s="22" t="inlineStr">
        <is>
          <t>4</t>
        </is>
      </c>
    </row>
    <row r="36">
      <c r="A36" s="20" t="n"/>
      <c r="B36" s="21" t="inlineStr">
        <is>
          <t xml:space="preserve">    8.3 avaliação participativa por objetivo (APPO)</t>
        </is>
      </c>
      <c r="C36" s="20" t="n"/>
      <c r="D36" s="22" t="inlineStr">
        <is>
          <t>4</t>
        </is>
      </c>
    </row>
    <row r="37">
      <c r="A37" s="20" t="n"/>
      <c r="B37" s="21" t="inlineStr">
        <is>
          <t xml:space="preserve">    8.4 liderança</t>
        </is>
      </c>
      <c r="C37" s="20" t="n"/>
      <c r="D37" s="22" t="inlineStr">
        <is>
          <t>4</t>
        </is>
      </c>
    </row>
    <row r="38">
      <c r="A38" s="20" t="n"/>
      <c r="B38" s="21" t="inlineStr">
        <is>
          <t xml:space="preserve">    8.5 motivação</t>
        </is>
      </c>
      <c r="C38" s="20" t="n"/>
      <c r="D38" s="22" t="inlineStr">
        <is>
          <t>4</t>
        </is>
      </c>
    </row>
    <row r="39">
      <c r="A39" s="7" t="inlineStr">
        <is>
          <t>9</t>
        </is>
      </c>
      <c r="B39" s="17" t="inlineStr">
        <is>
          <t>Gestão de projetos e portfólios</t>
        </is>
      </c>
      <c r="C39" s="7" t="n">
        <v>1</v>
      </c>
      <c r="D39" s="7" t="inlineStr">
        <is>
          <t>7, 8, 9</t>
        </is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9" t="n"/>
    </row>
    <row r="40">
      <c r="A40" s="20" t="n"/>
      <c r="B40" s="21" t="inlineStr">
        <is>
          <t xml:space="preserve">    9.1 padrões de referência em gerenciamento de projetos (PMBOK, Prince, Scrum e métodos ágeis)</t>
        </is>
      </c>
      <c r="C40" s="20" t="n"/>
      <c r="D40" s="22" t="inlineStr">
        <is>
          <t>7, 8, 9</t>
        </is>
      </c>
    </row>
    <row r="41">
      <c r="A41" s="20" t="n"/>
      <c r="B41" s="21" t="inlineStr">
        <is>
          <t xml:space="preserve">    9.2 cronogramas (decomposição de escopo, sequenciamento de atividades, estimativa de esforço e duração, alocação de pessoas)</t>
        </is>
      </c>
      <c r="C41" s="20" t="n"/>
      <c r="D41" s="22" t="inlineStr">
        <is>
          <t>7</t>
        </is>
      </c>
    </row>
    <row r="42">
      <c r="A42" s="20" t="n"/>
      <c r="B42" s="21" t="inlineStr">
        <is>
          <t xml:space="preserve">    9.3 Kanban</t>
        </is>
      </c>
      <c r="C42" s="20" t="n"/>
      <c r="D42" s="22" t="inlineStr">
        <is>
          <t>9</t>
        </is>
      </c>
    </row>
    <row r="45">
      <c r="A45" s="9" t="inlineStr">
        <is>
          <t>REGISTRO DOS SIMULADOS DESTA MATÉRIA</t>
        </is>
      </c>
    </row>
    <row r="46">
      <c r="A46" s="3" t="inlineStr">
        <is>
          <t>Filtro</t>
        </is>
      </c>
      <c r="B46" s="3" t="inlineStr">
        <is>
          <t>Data</t>
        </is>
      </c>
      <c r="C46" s="3" t="inlineStr">
        <is>
          <t>Total</t>
        </is>
      </c>
      <c r="D46" s="3" t="inlineStr">
        <is>
          <t>Acertos</t>
        </is>
      </c>
      <c r="E46" s="3" t="inlineStr">
        <is>
          <t>Erros</t>
        </is>
      </c>
      <c r="F46" s="3" t="inlineStr">
        <is>
          <t>% Bruto</t>
        </is>
      </c>
      <c r="G46" s="3" t="inlineStr">
        <is>
          <t>% Líquido</t>
        </is>
      </c>
      <c r="H46" s="3" t="inlineStr">
        <is>
          <t>Veredito</t>
        </is>
      </c>
    </row>
    <row r="47">
      <c r="A47" s="13" t="inlineStr">
        <is>
          <t>exemplo — apague ou ignore</t>
        </is>
      </c>
      <c r="B47" s="13" t="inlineStr">
        <is>
          <t>15/09/2026</t>
        </is>
      </c>
      <c r="C47" s="13" t="n">
        <v>20</v>
      </c>
      <c r="D47" s="13" t="n">
        <v>18</v>
      </c>
      <c r="E47" s="13" t="n">
        <v>2</v>
      </c>
      <c r="F47" s="23">
        <f>IFERROR(D47/C47,"")</f>
        <v/>
      </c>
      <c r="G47" s="23">
        <f>IFERROR((D47-E47)/C47,"")</f>
        <v/>
      </c>
      <c r="H47" s="13">
        <f>IF(N(C47)=0,"",IF(D47/C47&gt;=0.9,"VENCEU","REPETE"))</f>
        <v/>
      </c>
    </row>
    <row r="48">
      <c r="A48" s="19" t="n"/>
      <c r="B48" s="19" t="n"/>
      <c r="C48" s="19" t="n"/>
      <c r="D48" s="19" t="n"/>
      <c r="E48" s="19" t="n"/>
      <c r="F48" s="24">
        <f>IFERROR(D48/C48,"")</f>
        <v/>
      </c>
      <c r="G48" s="24">
        <f>IFERROR((D48-E48)/C48,"")</f>
        <v/>
      </c>
      <c r="H48" s="20">
        <f>IF(N(C48)=0,"",IF(D48/C48&gt;=0.9,"VENCEU","REPETE"))</f>
        <v/>
      </c>
    </row>
    <row r="49">
      <c r="A49" s="19" t="n"/>
      <c r="B49" s="19" t="n"/>
      <c r="C49" s="19" t="n"/>
      <c r="D49" s="19" t="n"/>
      <c r="E49" s="19" t="n"/>
      <c r="F49" s="24">
        <f>IFERROR(D49/C49,"")</f>
        <v/>
      </c>
      <c r="G49" s="24">
        <f>IFERROR((D49-E49)/C49,"")</f>
        <v/>
      </c>
      <c r="H49" s="20">
        <f>IF(N(C49)=0,"",IF(D49/C49&gt;=0.9,"VENCEU","REPETE"))</f>
        <v/>
      </c>
    </row>
    <row r="50">
      <c r="A50" s="19" t="n"/>
      <c r="B50" s="19" t="n"/>
      <c r="C50" s="19" t="n"/>
      <c r="D50" s="19" t="n"/>
      <c r="E50" s="19" t="n"/>
      <c r="F50" s="24">
        <f>IFERROR(D50/C50,"")</f>
        <v/>
      </c>
      <c r="G50" s="24">
        <f>IFERROR((D50-E50)/C50,"")</f>
        <v/>
      </c>
      <c r="H50" s="20">
        <f>IF(N(C50)=0,"",IF(D50/C50&gt;=0.9,"VENCEU","REPETE"))</f>
        <v/>
      </c>
    </row>
    <row r="51">
      <c r="A51" s="19" t="n"/>
      <c r="B51" s="19" t="n"/>
      <c r="C51" s="19" t="n"/>
      <c r="D51" s="19" t="n"/>
      <c r="E51" s="19" t="n"/>
      <c r="F51" s="24">
        <f>IFERROR(D51/C51,"")</f>
        <v/>
      </c>
      <c r="G51" s="24">
        <f>IFERROR((D51-E51)/C51,"")</f>
        <v/>
      </c>
      <c r="H51" s="20">
        <f>IF(N(C51)=0,"",IF(D51/C51&gt;=0.9,"VENCEU","REPETE"))</f>
        <v/>
      </c>
    </row>
    <row r="52">
      <c r="A52" s="19" t="n"/>
      <c r="B52" s="19" t="n"/>
      <c r="C52" s="19" t="n"/>
      <c r="D52" s="19" t="n"/>
      <c r="E52" s="19" t="n"/>
      <c r="F52" s="24">
        <f>IFERROR(D52/C52,"")</f>
        <v/>
      </c>
      <c r="G52" s="24">
        <f>IFERROR((D52-E52)/C52,"")</f>
        <v/>
      </c>
      <c r="H52" s="20">
        <f>IF(N(C52)=0,"",IF(D52/C52&gt;=0.9,"VENCEU","REPETE"))</f>
        <v/>
      </c>
    </row>
    <row r="53">
      <c r="A53" s="19" t="n"/>
      <c r="B53" s="19" t="n"/>
      <c r="C53" s="19" t="n"/>
      <c r="D53" s="19" t="n"/>
      <c r="E53" s="19" t="n"/>
      <c r="F53" s="24">
        <f>IFERROR(D53/C53,"")</f>
        <v/>
      </c>
      <c r="G53" s="24">
        <f>IFERROR((D53-E53)/C53,"")</f>
        <v/>
      </c>
      <c r="H53" s="20">
        <f>IF(N(C53)=0,"",IF(D53/C53&gt;=0.9,"VENCEU","REPETE"))</f>
        <v/>
      </c>
    </row>
    <row r="54">
      <c r="A54" s="19" t="n"/>
      <c r="B54" s="19" t="n"/>
      <c r="C54" s="19" t="n"/>
      <c r="D54" s="19" t="n"/>
      <c r="E54" s="19" t="n"/>
      <c r="F54" s="24">
        <f>IFERROR(D54/C54,"")</f>
        <v/>
      </c>
      <c r="G54" s="24">
        <f>IFERROR((D54-E54)/C54,"")</f>
        <v/>
      </c>
      <c r="H54" s="20">
        <f>IF(N(C54)=0,"",IF(D54/C54&gt;=0.9,"VENCEU","REPETE"))</f>
        <v/>
      </c>
    </row>
    <row r="55">
      <c r="A55" s="19" t="n"/>
      <c r="B55" s="19" t="n"/>
      <c r="C55" s="19" t="n"/>
      <c r="D55" s="19" t="n"/>
      <c r="E55" s="19" t="n"/>
      <c r="F55" s="24">
        <f>IFERROR(D55/C55,"")</f>
        <v/>
      </c>
      <c r="G55" s="24">
        <f>IFERROR((D55-E55)/C55,"")</f>
        <v/>
      </c>
      <c r="H55" s="20">
        <f>IF(N(C55)=0,"",IF(D55/C55&gt;=0.9,"VENCEU","REPETE"))</f>
        <v/>
      </c>
    </row>
    <row r="56">
      <c r="A56" s="19" t="n"/>
      <c r="B56" s="19" t="n"/>
      <c r="C56" s="19" t="n"/>
      <c r="D56" s="19" t="n"/>
      <c r="E56" s="19" t="n"/>
      <c r="F56" s="24">
        <f>IFERROR(D56/C56,"")</f>
        <v/>
      </c>
      <c r="G56" s="24">
        <f>IFERROR((D56-E56)/C56,"")</f>
        <v/>
      </c>
      <c r="H56" s="20">
        <f>IF(N(C56)=0,"",IF(D56/C56&gt;=0.9,"VENCEU","REPETE"))</f>
        <v/>
      </c>
    </row>
    <row r="57">
      <c r="A57" s="19" t="n"/>
      <c r="B57" s="19" t="n"/>
      <c r="C57" s="19" t="n"/>
      <c r="D57" s="19" t="n"/>
      <c r="E57" s="19" t="n"/>
      <c r="F57" s="24">
        <f>IFERROR(D57/C57,"")</f>
        <v/>
      </c>
      <c r="G57" s="24">
        <f>IFERROR((D57-E57)/C57,"")</f>
        <v/>
      </c>
      <c r="H57" s="20">
        <f>IF(N(C57)=0,"",IF(D57/C57&gt;=0.9,"VENCEU","REPETE"))</f>
        <v/>
      </c>
    </row>
    <row r="58">
      <c r="A58" s="19" t="n"/>
      <c r="B58" s="19" t="n"/>
      <c r="C58" s="19" t="n"/>
      <c r="D58" s="19" t="n"/>
      <c r="E58" s="19" t="n"/>
      <c r="F58" s="24">
        <f>IFERROR(D58/C58,"")</f>
        <v/>
      </c>
      <c r="G58" s="24">
        <f>IFERROR((D58-E58)/C58,"")</f>
        <v/>
      </c>
      <c r="H58" s="20">
        <f>IF(N(C58)=0,"",IF(D58/C58&gt;=0.9,"VENCEU","REPETE"))</f>
        <v/>
      </c>
    </row>
    <row r="59">
      <c r="A59" s="19" t="n"/>
      <c r="B59" s="19" t="n"/>
      <c r="C59" s="19" t="n"/>
      <c r="D59" s="19" t="n"/>
      <c r="E59" s="19" t="n"/>
      <c r="F59" s="24">
        <f>IFERROR(D59/C59,"")</f>
        <v/>
      </c>
      <c r="G59" s="24">
        <f>IFERROR((D59-E59)/C59,"")</f>
        <v/>
      </c>
      <c r="H59" s="20">
        <f>IF(N(C59)=0,"",IF(D59/C59&gt;=0.9,"VENCEU","REPETE"))</f>
        <v/>
      </c>
    </row>
    <row r="60">
      <c r="A60" s="19" t="n"/>
      <c r="B60" s="19" t="n"/>
      <c r="C60" s="19" t="n"/>
      <c r="D60" s="19" t="n"/>
      <c r="E60" s="19" t="n"/>
      <c r="F60" s="24">
        <f>IFERROR(D60/C60,"")</f>
        <v/>
      </c>
      <c r="G60" s="24">
        <f>IFERROR((D60-E60)/C60,"")</f>
        <v/>
      </c>
      <c r="H60" s="20">
        <f>IF(N(C60)=0,"",IF(D60/C60&gt;=0.9,"VENCEU","REPETE"))</f>
        <v/>
      </c>
    </row>
    <row r="61">
      <c r="A61" s="19" t="n"/>
      <c r="B61" s="19" t="n"/>
      <c r="C61" s="19" t="n"/>
      <c r="D61" s="19" t="n"/>
      <c r="E61" s="19" t="n"/>
      <c r="F61" s="24">
        <f>IFERROR(D61/C61,"")</f>
        <v/>
      </c>
      <c r="G61" s="24">
        <f>IFERROR((D61-E61)/C61,"")</f>
        <v/>
      </c>
      <c r="H61" s="20">
        <f>IF(N(C61)=0,"",IF(D61/C61&gt;=0.9,"VENCEU","REPETE"))</f>
        <v/>
      </c>
    </row>
    <row r="62">
      <c r="A62" s="19" t="n"/>
      <c r="B62" s="19" t="n"/>
      <c r="C62" s="19" t="n"/>
      <c r="D62" s="19" t="n"/>
      <c r="E62" s="19" t="n"/>
      <c r="F62" s="24">
        <f>IFERROR(D62/C62,"")</f>
        <v/>
      </c>
      <c r="G62" s="24">
        <f>IFERROR((D62-E62)/C62,"")</f>
        <v/>
      </c>
      <c r="H62" s="20">
        <f>IF(N(C62)=0,"",IF(D62/C62&gt;=0.9,"VENCEU","REPETE"))</f>
        <v/>
      </c>
    </row>
    <row r="63">
      <c r="A63" s="19" t="n"/>
      <c r="B63" s="19" t="n"/>
      <c r="C63" s="19" t="n"/>
      <c r="D63" s="19" t="n"/>
      <c r="E63" s="19" t="n"/>
      <c r="F63" s="24">
        <f>IFERROR(D63/C63,"")</f>
        <v/>
      </c>
      <c r="G63" s="24">
        <f>IFERROR((D63-E63)/C63,"")</f>
        <v/>
      </c>
      <c r="H63" s="20">
        <f>IF(N(C63)=0,"",IF(D63/C63&gt;=0.9,"VENCEU","REPETE"))</f>
        <v/>
      </c>
    </row>
    <row r="64">
      <c r="A64" s="19" t="n"/>
      <c r="B64" s="19" t="n"/>
      <c r="C64" s="19" t="n"/>
      <c r="D64" s="19" t="n"/>
      <c r="E64" s="19" t="n"/>
      <c r="F64" s="24">
        <f>IFERROR(D64/C64,"")</f>
        <v/>
      </c>
      <c r="G64" s="24">
        <f>IFERROR((D64-E64)/C64,"")</f>
        <v/>
      </c>
      <c r="H64" s="20">
        <f>IF(N(C64)=0,"",IF(D64/C64&gt;=0.9,"VENCEU","REPETE"))</f>
        <v/>
      </c>
    </row>
    <row r="65">
      <c r="A65" s="19" t="n"/>
      <c r="B65" s="19" t="n"/>
      <c r="C65" s="19" t="n"/>
      <c r="D65" s="19" t="n"/>
      <c r="E65" s="19" t="n"/>
      <c r="F65" s="24">
        <f>IFERROR(D65/C65,"")</f>
        <v/>
      </c>
      <c r="G65" s="24">
        <f>IFERROR((D65-E65)/C65,"")</f>
        <v/>
      </c>
      <c r="H65" s="20">
        <f>IF(N(C65)=0,"",IF(D65/C65&gt;=0.9,"VENCEU","REPETE"))</f>
        <v/>
      </c>
    </row>
    <row r="66">
      <c r="A66" s="19" t="n"/>
      <c r="B66" s="19" t="n"/>
      <c r="C66" s="19" t="n"/>
      <c r="D66" s="19" t="n"/>
      <c r="E66" s="19" t="n"/>
      <c r="F66" s="24">
        <f>IFERROR(D66/C66,"")</f>
        <v/>
      </c>
      <c r="G66" s="24">
        <f>IFERROR((D66-E66)/C66,"")</f>
        <v/>
      </c>
      <c r="H66" s="20">
        <f>IF(N(C66)=0,"",IF(D66/C66&gt;=0.9,"VENCEU","REPETE"))</f>
        <v/>
      </c>
    </row>
    <row r="67">
      <c r="A67" s="19" t="n"/>
      <c r="B67" s="19" t="n"/>
      <c r="C67" s="19" t="n"/>
      <c r="D67" s="19" t="n"/>
      <c r="E67" s="19" t="n"/>
      <c r="F67" s="24">
        <f>IFERROR(D67/C67,"")</f>
        <v/>
      </c>
      <c r="G67" s="24">
        <f>IFERROR((D67-E67)/C67,"")</f>
        <v/>
      </c>
      <c r="H67" s="20">
        <f>IF(N(C67)=0,"",IF(D67/C67&gt;=0.9,"VENCEU","REPETE"))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D28D9"/>
    <outlinePr summaryBelow="1" summaryRight="1"/>
    <pageSetUpPr/>
  </sheetPr>
  <dimension ref="A1:M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Análise de Dados, Noções de Estatística e Inteligência Artificial</t>
        </is>
      </c>
      <c r="E1" s="11" t="inlineStr">
        <is>
          <t>Bloco P2 · Quinta-feira · 5 tópicos · 5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Fundamentos de análise de dados</t>
        </is>
      </c>
      <c r="C8" s="7" t="n">
        <v>1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tipos de dados (estruturados e não estruturados; quantitativos e qualitativos)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produtos da análise de dados (base de dados, relatórios, planilhas e dashboards)</t>
        </is>
      </c>
      <c r="C10" s="20" t="n"/>
      <c r="D10" s="22" t="inlineStr">
        <is>
          <t>2</t>
        </is>
      </c>
    </row>
    <row r="11">
      <c r="A11" s="7" t="inlineStr">
        <is>
          <t>2</t>
        </is>
      </c>
      <c r="B11" s="17" t="inlineStr">
        <is>
          <t>Estatística descritiva e análise exploratória de dados</t>
        </is>
      </c>
      <c r="C11" s="7" t="n">
        <v>1</v>
      </c>
      <c r="D11" s="7" t="inlineStr">
        <is>
          <t>3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20" t="n"/>
      <c r="B12" s="21" t="inlineStr">
        <is>
          <t xml:space="preserve">    2.1 tabelas de distribuição de frequências, medidas de tendência central (média, mediana e moda) e medidas de dispersão (variância e desvio-padrão) voltadas à identificação de anomalias</t>
        </is>
      </c>
      <c r="C12" s="20" t="n"/>
      <c r="D12" s="22" t="inlineStr">
        <is>
          <t>3</t>
        </is>
      </c>
    </row>
    <row r="13">
      <c r="A13" s="20" t="n"/>
      <c r="B13" s="21" t="inlineStr">
        <is>
          <t xml:space="preserve">    2.2 identificação de outliers e análise de séries históricas</t>
        </is>
      </c>
      <c r="C13" s="20" t="n"/>
      <c r="D13" s="22" t="inlineStr">
        <is>
          <t>3</t>
        </is>
      </c>
    </row>
    <row r="14">
      <c r="A14" s="7" t="inlineStr">
        <is>
          <t>3</t>
        </is>
      </c>
      <c r="B14" s="17" t="inlineStr">
        <is>
          <t>Introdução à visualização de dados e storytelling</t>
        </is>
      </c>
      <c r="C14" s="7" t="n">
        <v>1</v>
      </c>
      <c r="D14" s="7" t="inlineStr">
        <is>
          <t>4, 5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</row>
    <row r="15">
      <c r="A15" s="20" t="n"/>
      <c r="B15" s="21" t="inlineStr">
        <is>
          <t xml:space="preserve">    3.1 tipos de gráficos (barras, pizza, linha, dispersão, histograma)</t>
        </is>
      </c>
      <c r="C15" s="20" t="n"/>
      <c r="D15" s="22" t="inlineStr">
        <is>
          <t>4</t>
        </is>
      </c>
    </row>
    <row r="16">
      <c r="A16" s="20" t="n"/>
      <c r="B16" s="21" t="inlineStr">
        <is>
          <t xml:space="preserve">    3.2 boas práticas para construção de gráficos</t>
        </is>
      </c>
      <c r="C16" s="20" t="n"/>
      <c r="D16" s="22" t="inlineStr">
        <is>
          <t>4</t>
        </is>
      </c>
    </row>
    <row r="17">
      <c r="A17" s="20" t="n"/>
      <c r="B17" s="21" t="inlineStr">
        <is>
          <t xml:space="preserve">    3.3 princípios de narrativa com dados</t>
        </is>
      </c>
      <c r="C17" s="20" t="n"/>
      <c r="D17" s="22" t="inlineStr">
        <is>
          <t>5</t>
        </is>
      </c>
    </row>
    <row r="18">
      <c r="A18" s="7" t="inlineStr">
        <is>
          <t>4</t>
        </is>
      </c>
      <c r="B18" s="17" t="inlineStr">
        <is>
          <t>Inteligência artificial generativa</t>
        </is>
      </c>
      <c r="C18" s="7" t="n">
        <v>1</v>
      </c>
      <c r="D18" s="7" t="inlineStr">
        <is>
          <t>6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</row>
    <row r="19">
      <c r="A19" s="20" t="n"/>
      <c r="B19" s="21" t="inlineStr">
        <is>
          <t xml:space="preserve">    4.1 engenharia de prompt (contexto, persona, exemplos e estrutura de saída; encadeamento de prompt)</t>
        </is>
      </c>
      <c r="C19" s="20" t="n"/>
      <c r="D19" s="22" t="inlineStr">
        <is>
          <t>6</t>
        </is>
      </c>
    </row>
    <row r="20">
      <c r="A20" s="20" t="n"/>
      <c r="B20" s="21" t="inlineStr">
        <is>
          <t xml:space="preserve">    4.2 vieses cognitivos</t>
        </is>
      </c>
      <c r="C20" s="20" t="n"/>
      <c r="D20" s="22" t="inlineStr">
        <is>
          <t>6</t>
        </is>
      </c>
    </row>
    <row r="21">
      <c r="A21" s="20" t="n"/>
      <c r="B21" s="21" t="inlineStr">
        <is>
          <t xml:space="preserve">    4.3 ética no uso de dados e inteligência artificial</t>
        </is>
      </c>
      <c r="C21" s="20" t="n"/>
      <c r="D21" s="22" t="inlineStr">
        <is>
          <t>6</t>
        </is>
      </c>
    </row>
    <row r="22">
      <c r="A22" s="7" t="inlineStr">
        <is>
          <t>5</t>
        </is>
      </c>
      <c r="B22" s="17" t="inlineStr">
        <is>
          <t>Utilização de Excel (Microsoft 365) para análise de dados</t>
        </is>
      </c>
      <c r="C22" s="7" t="n">
        <v>1</v>
      </c>
      <c r="D22" s="7" t="inlineStr">
        <is>
          <t>7, 8, 9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9" t="n"/>
    </row>
    <row r="23">
      <c r="A23" s="20" t="n"/>
      <c r="B23" s="21" t="inlineStr">
        <is>
          <t xml:space="preserve">    5.1 operação em Microsoft Excel avançado (Power Query para extração e tratamento de dados)</t>
        </is>
      </c>
      <c r="C23" s="20" t="n"/>
      <c r="D23" s="22" t="inlineStr">
        <is>
          <t>8</t>
        </is>
      </c>
    </row>
    <row r="24">
      <c r="A24" s="20" t="n"/>
      <c r="B24" s="21" t="inlineStr">
        <is>
          <t xml:space="preserve">    5.2 fórmulas lógicas, financeiras e de busca</t>
        </is>
      </c>
      <c r="C24" s="20" t="n"/>
      <c r="D24" s="22" t="inlineStr">
        <is>
          <t>7</t>
        </is>
      </c>
    </row>
    <row r="25">
      <c r="A25" s="20" t="n"/>
      <c r="B25" s="21" t="inlineStr">
        <is>
          <t xml:space="preserve">    5.3 tabelas dinâmicas e tratamento de grandes bases relacionais</t>
        </is>
      </c>
      <c r="C25" s="20" t="n"/>
      <c r="D25" s="22" t="inlineStr">
        <is>
          <t>9</t>
        </is>
      </c>
    </row>
    <row r="28">
      <c r="A28" s="9" t="inlineStr">
        <is>
          <t>REGISTRO DOS SIMULADOS DESTA MATÉRIA</t>
        </is>
      </c>
    </row>
    <row r="29">
      <c r="A29" s="3" t="inlineStr">
        <is>
          <t>Filtro</t>
        </is>
      </c>
      <c r="B29" s="3" t="inlineStr">
        <is>
          <t>Data</t>
        </is>
      </c>
      <c r="C29" s="3" t="inlineStr">
        <is>
          <t>Total</t>
        </is>
      </c>
      <c r="D29" s="3" t="inlineStr">
        <is>
          <t>Acertos</t>
        </is>
      </c>
      <c r="E29" s="3" t="inlineStr">
        <is>
          <t>Erros</t>
        </is>
      </c>
      <c r="F29" s="3" t="inlineStr">
        <is>
          <t>% Bruto</t>
        </is>
      </c>
      <c r="G29" s="3" t="inlineStr">
        <is>
          <t>% Líquido</t>
        </is>
      </c>
      <c r="H29" s="3" t="inlineStr">
        <is>
          <t>Veredito</t>
        </is>
      </c>
    </row>
    <row r="30">
      <c r="A30" s="13" t="inlineStr">
        <is>
          <t>exemplo — apague ou ignore</t>
        </is>
      </c>
      <c r="B30" s="13" t="inlineStr">
        <is>
          <t>15/09/2026</t>
        </is>
      </c>
      <c r="C30" s="13" t="n">
        <v>20</v>
      </c>
      <c r="D30" s="13" t="n">
        <v>18</v>
      </c>
      <c r="E30" s="13" t="n">
        <v>2</v>
      </c>
      <c r="F30" s="23">
        <f>IFERROR(D30/C30,"")</f>
        <v/>
      </c>
      <c r="G30" s="23">
        <f>IFERROR((D30-E30)/C30,"")</f>
        <v/>
      </c>
      <c r="H30" s="13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  <row r="44">
      <c r="A44" s="19" t="n"/>
      <c r="B44" s="19" t="n"/>
      <c r="C44" s="19" t="n"/>
      <c r="D44" s="19" t="n"/>
      <c r="E44" s="19" t="n"/>
      <c r="F44" s="24">
        <f>IFERROR(D44/C44,"")</f>
        <v/>
      </c>
      <c r="G44" s="24">
        <f>IFERROR((D44-E44)/C44,"")</f>
        <v/>
      </c>
      <c r="H44" s="20">
        <f>IF(N(C44)=0,"",IF(D44/C44&gt;=0.9,"VENCEU","REPETE"))</f>
        <v/>
      </c>
    </row>
    <row r="45">
      <c r="A45" s="19" t="n"/>
      <c r="B45" s="19" t="n"/>
      <c r="C45" s="19" t="n"/>
      <c r="D45" s="19" t="n"/>
      <c r="E45" s="19" t="n"/>
      <c r="F45" s="24">
        <f>IFERROR(D45/C45,"")</f>
        <v/>
      </c>
      <c r="G45" s="24">
        <f>IFERROR((D45-E45)/C45,"")</f>
        <v/>
      </c>
      <c r="H45" s="20">
        <f>IF(N(C45)=0,"",IF(D45/C45&gt;=0.9,"VENCEU","REPETE"))</f>
        <v/>
      </c>
    </row>
    <row r="46">
      <c r="A46" s="19" t="n"/>
      <c r="B46" s="19" t="n"/>
      <c r="C46" s="19" t="n"/>
      <c r="D46" s="19" t="n"/>
      <c r="E46" s="19" t="n"/>
      <c r="F46" s="24">
        <f>IFERROR(D46/C46,"")</f>
        <v/>
      </c>
      <c r="G46" s="24">
        <f>IFERROR((D46-E46)/C46,"")</f>
        <v/>
      </c>
      <c r="H46" s="20">
        <f>IF(N(C46)=0,"",IF(D46/C46&gt;=0.9,"VENCEU","REPETE"))</f>
        <v/>
      </c>
    </row>
    <row r="47">
      <c r="A47" s="19" t="n"/>
      <c r="B47" s="19" t="n"/>
      <c r="C47" s="19" t="n"/>
      <c r="D47" s="19" t="n"/>
      <c r="E47" s="19" t="n"/>
      <c r="F47" s="24">
        <f>IFERROR(D47/C47,"")</f>
        <v/>
      </c>
      <c r="G47" s="24">
        <f>IFERROR((D47-E47)/C47,"")</f>
        <v/>
      </c>
      <c r="H47" s="20">
        <f>IF(N(C47)=0,"",IF(D47/C47&gt;=0.9,"VENCEU","REPETE"))</f>
        <v/>
      </c>
    </row>
    <row r="48">
      <c r="A48" s="19" t="n"/>
      <c r="B48" s="19" t="n"/>
      <c r="C48" s="19" t="n"/>
      <c r="D48" s="19" t="n"/>
      <c r="E48" s="19" t="n"/>
      <c r="F48" s="24">
        <f>IFERROR(D48/C48,"")</f>
        <v/>
      </c>
      <c r="G48" s="24">
        <f>IFERROR((D48-E48)/C48,"")</f>
        <v/>
      </c>
      <c r="H48" s="20">
        <f>IF(N(C48)=0,"",IF(D48/C48&gt;=0.9,"VENCEU","REPETE"))</f>
        <v/>
      </c>
    </row>
    <row r="49">
      <c r="A49" s="19" t="n"/>
      <c r="B49" s="19" t="n"/>
      <c r="C49" s="19" t="n"/>
      <c r="D49" s="19" t="n"/>
      <c r="E49" s="19" t="n"/>
      <c r="F49" s="24">
        <f>IFERROR(D49/C49,"")</f>
        <v/>
      </c>
      <c r="G49" s="24">
        <f>IFERROR((D49-E49)/C49,"")</f>
        <v/>
      </c>
      <c r="H49" s="20">
        <f>IF(N(C49)=0,"",IF(D49/C49&gt;=0.9,"VENCEU","REPETE"))</f>
        <v/>
      </c>
    </row>
    <row r="50">
      <c r="A50" s="19" t="n"/>
      <c r="B50" s="19" t="n"/>
      <c r="C50" s="19" t="n"/>
      <c r="D50" s="19" t="n"/>
      <c r="E50" s="19" t="n"/>
      <c r="F50" s="24">
        <f>IFERROR(D50/C50,"")</f>
        <v/>
      </c>
      <c r="G50" s="24">
        <f>IFERROR((D50-E50)/C50,"")</f>
        <v/>
      </c>
      <c r="H50" s="20">
        <f>IF(N(C50)=0,"",IF(D50/C50&gt;=0.9,"VENCEU","REPETE"))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D28D9"/>
    <outlinePr summaryBelow="1" summaryRight="1"/>
    <pageSetUpPr/>
  </sheetPr>
  <dimension ref="A1:M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Regime Jurídico dos Servidores Públicos Civis do DF (LC 840/2011)</t>
        </is>
      </c>
      <c r="E1" s="11" t="inlineStr">
        <is>
          <t>Bloco P3 · Sexta-feira · 1 tópicos · 8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Lei Complementar nº 840/2011 (regime jurídico dos servidores públicos civis do Distrito Federal, das autarquias e das fundações públicas distritais)</t>
        </is>
      </c>
      <c r="C8" s="7" t="n">
        <v>8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Disposições preliminares, cargo público e provimento (nomeação, posse, exercício, estágio probatório) (subdivisão sugerida)</t>
        </is>
      </c>
      <c r="C9" s="20" t="n"/>
      <c r="D9" s="22" t="inlineStr"/>
    </row>
    <row r="10">
      <c r="A10" s="20" t="n"/>
      <c r="B10" s="21" t="inlineStr">
        <is>
          <t xml:space="preserve">    Vacância, remoção, redistribuição e substituição (subdivisão sugerida)</t>
        </is>
      </c>
      <c r="C10" s="20" t="n"/>
      <c r="D10" s="22" t="inlineStr"/>
    </row>
    <row r="11">
      <c r="A11" s="20" t="n"/>
      <c r="B11" s="21" t="inlineStr">
        <is>
          <t xml:space="preserve">    Direitos e vantagens: remuneração, vencimento, vantagens, indenizações e gratificações (subdivisão sugerida)</t>
        </is>
      </c>
      <c r="C11" s="20" t="n"/>
      <c r="D11" s="22" t="inlineStr"/>
    </row>
    <row r="12">
      <c r="A12" s="20" t="n"/>
      <c r="B12" s="21" t="inlineStr">
        <is>
          <t xml:space="preserve">    Férias, licenças, afastamentos e concessões (subdivisão sugerida)</t>
        </is>
      </c>
      <c r="C12" s="20" t="n"/>
      <c r="D12" s="22" t="inlineStr"/>
    </row>
    <row r="13">
      <c r="A13" s="20" t="n"/>
      <c r="B13" s="21" t="inlineStr">
        <is>
          <t xml:space="preserve">    Deveres, proibições, acumulação e responsabilidades do servidor (subdivisão sugerida)</t>
        </is>
      </c>
      <c r="C13" s="20" t="n"/>
      <c r="D13" s="22" t="inlineStr"/>
    </row>
    <row r="14">
      <c r="A14" s="20" t="n"/>
      <c r="B14" s="21" t="inlineStr">
        <is>
          <t xml:space="preserve">    Regime disciplinar: penalidades, sindicância, processo administrativo disciplinar e prescrição (subdivisão sugerida)</t>
        </is>
      </c>
      <c r="C14" s="20" t="n"/>
      <c r="D14" s="22" t="inlineStr"/>
    </row>
    <row r="15">
      <c r="A15" s="20" t="n"/>
      <c r="B15" s="21" t="inlineStr">
        <is>
          <t xml:space="preserve">    Seguridade do servidor e disposições finais (subdivisão sugerida)</t>
        </is>
      </c>
      <c r="C15" s="20" t="n"/>
      <c r="D15" s="22" t="inlineStr"/>
    </row>
    <row r="18">
      <c r="A18" s="9" t="inlineStr">
        <is>
          <t>REGISTRO DOS SIMULADOS DESTA MATÉRIA</t>
        </is>
      </c>
    </row>
    <row r="19">
      <c r="A19" s="3" t="inlineStr">
        <is>
          <t>Filtro</t>
        </is>
      </c>
      <c r="B19" s="3" t="inlineStr">
        <is>
          <t>Data</t>
        </is>
      </c>
      <c r="C19" s="3" t="inlineStr">
        <is>
          <t>Total</t>
        </is>
      </c>
      <c r="D19" s="3" t="inlineStr">
        <is>
          <t>Acertos</t>
        </is>
      </c>
      <c r="E19" s="3" t="inlineStr">
        <is>
          <t>Erros</t>
        </is>
      </c>
      <c r="F19" s="3" t="inlineStr">
        <is>
          <t>% Bruto</t>
        </is>
      </c>
      <c r="G19" s="3" t="inlineStr">
        <is>
          <t>% Líquido</t>
        </is>
      </c>
      <c r="H19" s="3" t="inlineStr">
        <is>
          <t>Veredito</t>
        </is>
      </c>
    </row>
    <row r="20">
      <c r="A20" s="13" t="inlineStr">
        <is>
          <t>exemplo — apague ou ignore</t>
        </is>
      </c>
      <c r="B20" s="13" t="inlineStr">
        <is>
          <t>15/09/2026</t>
        </is>
      </c>
      <c r="C20" s="13" t="n">
        <v>20</v>
      </c>
      <c r="D20" s="13" t="n">
        <v>18</v>
      </c>
      <c r="E20" s="13" t="n">
        <v>2</v>
      </c>
      <c r="F20" s="23">
        <f>IFERROR(D20/C20,"")</f>
        <v/>
      </c>
      <c r="G20" s="23">
        <f>IFERROR((D20-E20)/C20,"")</f>
        <v/>
      </c>
      <c r="H20" s="13">
        <f>IF(N(C20)=0,"",IF(D20/C20&gt;=0.9,"VENCEU","REPETE"))</f>
        <v/>
      </c>
    </row>
    <row r="21">
      <c r="A21" s="19" t="n"/>
      <c r="B21" s="19" t="n"/>
      <c r="C21" s="19" t="n"/>
      <c r="D21" s="19" t="n"/>
      <c r="E21" s="19" t="n"/>
      <c r="F21" s="24">
        <f>IFERROR(D21/C21,"")</f>
        <v/>
      </c>
      <c r="G21" s="24">
        <f>IFERROR((D21-E21)/C21,"")</f>
        <v/>
      </c>
      <c r="H21" s="20">
        <f>IF(N(C21)=0,"",IF(D21/C21&gt;=0.9,"VENCEU","REPETE"))</f>
        <v/>
      </c>
    </row>
    <row r="22">
      <c r="A22" s="19" t="n"/>
      <c r="B22" s="19" t="n"/>
      <c r="C22" s="19" t="n"/>
      <c r="D22" s="19" t="n"/>
      <c r="E22" s="19" t="n"/>
      <c r="F22" s="24">
        <f>IFERROR(D22/C22,"")</f>
        <v/>
      </c>
      <c r="G22" s="24">
        <f>IFERROR((D22-E22)/C22,"")</f>
        <v/>
      </c>
      <c r="H22" s="20">
        <f>IF(N(C22)=0,"",IF(D22/C22&gt;=0.9,"VENCEU","REPETE"))</f>
        <v/>
      </c>
    </row>
    <row r="23">
      <c r="A23" s="19" t="n"/>
      <c r="B23" s="19" t="n"/>
      <c r="C23" s="19" t="n"/>
      <c r="D23" s="19" t="n"/>
      <c r="E23" s="19" t="n"/>
      <c r="F23" s="24">
        <f>IFERROR(D23/C23,"")</f>
        <v/>
      </c>
      <c r="G23" s="24">
        <f>IFERROR((D23-E23)/C23,"")</f>
        <v/>
      </c>
      <c r="H23" s="20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D28D9"/>
    <outlinePr summaryBelow="1" summaryRight="1"/>
    <pageSetUpPr/>
  </sheetPr>
  <dimension ref="A1:M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Direito Previdenciário</t>
        </is>
      </c>
      <c r="E1" s="11" t="inlineStr">
        <is>
          <t>Bloco P2 · Sexta-feira · 5 tópicos · 8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Seguridade social</t>
        </is>
      </c>
      <c r="C8" s="7" t="n">
        <v>1</v>
      </c>
      <c r="D8" s="7" t="inlineStr">
        <is>
          <t>2, 3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1.1 origem e evolução legislativa no Brasil</t>
        </is>
      </c>
      <c r="C9" s="20" t="n"/>
      <c r="D9" s="22" t="inlineStr">
        <is>
          <t>2</t>
        </is>
      </c>
    </row>
    <row r="10">
      <c r="A10" s="20" t="n"/>
      <c r="B10" s="21" t="inlineStr">
        <is>
          <t xml:space="preserve">    1.2 conceito, organização e princípios constitucionais</t>
        </is>
      </c>
      <c r="C10" s="20" t="n"/>
      <c r="D10" s="22" t="inlineStr">
        <is>
          <t>3</t>
        </is>
      </c>
    </row>
    <row r="11">
      <c r="A11" s="7" t="inlineStr">
        <is>
          <t>2</t>
        </is>
      </c>
      <c r="B11" s="17" t="inlineStr">
        <is>
          <t>Regime geral da previdência social – RGPS: Lei federal nº 8.212/1991 e Lei federal nº 8.213/1991</t>
        </is>
      </c>
      <c r="C11" s="7" t="n">
        <v>2</v>
      </c>
      <c r="D11" s="7" t="inlineStr">
        <is>
          <t>4, 5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7" t="inlineStr">
        <is>
          <t>3</t>
        </is>
      </c>
      <c r="B12" s="17" t="inlineStr">
        <is>
          <t>Regime próprio de previdência social dos servidores públicos – RPPS</t>
        </is>
      </c>
      <c r="C12" s="7" t="n">
        <v>2</v>
      </c>
      <c r="D12" s="7" t="inlineStr">
        <is>
          <t>6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9" t="n"/>
    </row>
    <row r="13">
      <c r="A13" s="7" t="inlineStr">
        <is>
          <t>4</t>
        </is>
      </c>
      <c r="B13" s="17" t="inlineStr">
        <is>
          <t>Regime Próprio de Previdência Social do Distrito Federal – RPPS/DF: Lei Complementar distrital nº 769/2008</t>
        </is>
      </c>
      <c r="C13" s="7" t="n">
        <v>2</v>
      </c>
      <c r="D13" s="7" t="inlineStr">
        <is>
          <t>7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9" t="n"/>
    </row>
    <row r="14">
      <c r="A14" s="7" t="inlineStr">
        <is>
          <t>5</t>
        </is>
      </c>
      <c r="B14" s="17" t="inlineStr">
        <is>
          <t>Previdência complementar: Lei Complementar federal nº 108/2001, Lei Complementar federal nº 109/2001 e Lei Complementar distrital nº 932/2017</t>
        </is>
      </c>
      <c r="C14" s="7" t="n">
        <v>1</v>
      </c>
      <c r="D14" s="7" t="inlineStr">
        <is>
          <t>8, 9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</row>
    <row r="17">
      <c r="A17" s="9" t="inlineStr">
        <is>
          <t>REGISTRO DOS SIMULADOS DESTA MATÉRIA</t>
        </is>
      </c>
    </row>
    <row r="18">
      <c r="A18" s="3" t="inlineStr">
        <is>
          <t>Filtro</t>
        </is>
      </c>
      <c r="B18" s="3" t="inlineStr">
        <is>
          <t>Data</t>
        </is>
      </c>
      <c r="C18" s="3" t="inlineStr">
        <is>
          <t>Total</t>
        </is>
      </c>
      <c r="D18" s="3" t="inlineStr">
        <is>
          <t>Acertos</t>
        </is>
      </c>
      <c r="E18" s="3" t="inlineStr">
        <is>
          <t>Erros</t>
        </is>
      </c>
      <c r="F18" s="3" t="inlineStr">
        <is>
          <t>% Bruto</t>
        </is>
      </c>
      <c r="G18" s="3" t="inlineStr">
        <is>
          <t>% Líquido</t>
        </is>
      </c>
      <c r="H18" s="3" t="inlineStr">
        <is>
          <t>Veredito</t>
        </is>
      </c>
    </row>
    <row r="19">
      <c r="A19" s="13" t="inlineStr">
        <is>
          <t>exemplo — apague ou ignore</t>
        </is>
      </c>
      <c r="B19" s="13" t="inlineStr">
        <is>
          <t>15/09/2026</t>
        </is>
      </c>
      <c r="C19" s="13" t="n">
        <v>20</v>
      </c>
      <c r="D19" s="13" t="n">
        <v>18</v>
      </c>
      <c r="E19" s="13" t="n">
        <v>2</v>
      </c>
      <c r="F19" s="23">
        <f>IFERROR(D19/C19,"")</f>
        <v/>
      </c>
      <c r="G19" s="23">
        <f>IFERROR((D19-E19)/C19,"")</f>
        <v/>
      </c>
      <c r="H19" s="13">
        <f>IF(N(C19)=0,"",IF(D19/C19&gt;=0.9,"VENCEU","REPETE"))</f>
        <v/>
      </c>
    </row>
    <row r="20">
      <c r="A20" s="19" t="n"/>
      <c r="B20" s="19" t="n"/>
      <c r="C20" s="19" t="n"/>
      <c r="D20" s="19" t="n"/>
      <c r="E20" s="19" t="n"/>
      <c r="F20" s="24">
        <f>IFERROR(D20/C20,"")</f>
        <v/>
      </c>
      <c r="G20" s="24">
        <f>IFERROR((D20-E20)/C20,"")</f>
        <v/>
      </c>
      <c r="H20" s="20">
        <f>IF(N(C20)=0,"",IF(D20/C20&gt;=0.9,"VENCEU","REPETE"))</f>
        <v/>
      </c>
    </row>
    <row r="21">
      <c r="A21" s="19" t="n"/>
      <c r="B21" s="19" t="n"/>
      <c r="C21" s="19" t="n"/>
      <c r="D21" s="19" t="n"/>
      <c r="E21" s="19" t="n"/>
      <c r="F21" s="24">
        <f>IFERROR(D21/C21,"")</f>
        <v/>
      </c>
      <c r="G21" s="24">
        <f>IFERROR((D21-E21)/C21,"")</f>
        <v/>
      </c>
      <c r="H21" s="20">
        <f>IF(N(C21)=0,"",IF(D21/C21&gt;=0.9,"VENCEU","REPETE"))</f>
        <v/>
      </c>
    </row>
    <row r="22">
      <c r="A22" s="19" t="n"/>
      <c r="B22" s="19" t="n"/>
      <c r="C22" s="19" t="n"/>
      <c r="D22" s="19" t="n"/>
      <c r="E22" s="19" t="n"/>
      <c r="F22" s="24">
        <f>IFERROR(D22/C22,"")</f>
        <v/>
      </c>
      <c r="G22" s="24">
        <f>IFERROR((D22-E22)/C22,"")</f>
        <v/>
      </c>
      <c r="H22" s="20">
        <f>IF(N(C22)=0,"",IF(D22/C22&gt;=0.9,"VENCEU","REPETE"))</f>
        <v/>
      </c>
    </row>
    <row r="23">
      <c r="A23" s="19" t="n"/>
      <c r="B23" s="19" t="n"/>
      <c r="C23" s="19" t="n"/>
      <c r="D23" s="19" t="n"/>
      <c r="E23" s="19" t="n"/>
      <c r="F23" s="24">
        <f>IFERROR(D23/C23,"")</f>
        <v/>
      </c>
      <c r="G23" s="24">
        <f>IFERROR((D23-E23)/C23,"")</f>
        <v/>
      </c>
      <c r="H23" s="20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D28D9"/>
    <outlinePr summaryBelow="1" summaryRight="1"/>
    <pageSetUpPr/>
  </sheetPr>
  <dimension ref="A1:M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Noções de Direito Civil</t>
        </is>
      </c>
      <c r="E1" s="11" t="inlineStr">
        <is>
          <t>Bloco P2 · Sexta-feira · 6 tópicos · 6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Lei de Introdução às Normas do Direito Brasileiro</t>
        </is>
      </c>
      <c r="C8" s="7" t="n">
        <v>1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7" t="inlineStr">
        <is>
          <t>2</t>
        </is>
      </c>
      <c r="B9" s="17" t="inlineStr">
        <is>
          <t>Pessoas</t>
        </is>
      </c>
      <c r="C9" s="7" t="n">
        <v>1</v>
      </c>
      <c r="D9" s="7" t="inlineStr">
        <is>
          <t>3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9" t="n"/>
    </row>
    <row r="10">
      <c r="A10" s="20" t="n"/>
      <c r="B10" s="21" t="inlineStr">
        <is>
          <t xml:space="preserve">    2.1 pessoas naturais</t>
        </is>
      </c>
      <c r="C10" s="20" t="n"/>
      <c r="D10" s="22" t="inlineStr">
        <is>
          <t>3</t>
        </is>
      </c>
    </row>
    <row r="11">
      <c r="A11" s="20" t="n"/>
      <c r="B11" s="21" t="inlineStr">
        <is>
          <t xml:space="preserve">    2.2 pessoas jurídicas</t>
        </is>
      </c>
      <c r="C11" s="20" t="n"/>
      <c r="D11" s="22" t="inlineStr">
        <is>
          <t>3</t>
        </is>
      </c>
    </row>
    <row r="12">
      <c r="A12" s="20" t="n"/>
      <c r="B12" s="21" t="inlineStr">
        <is>
          <t xml:space="preserve">    2.3 domicílio</t>
        </is>
      </c>
      <c r="C12" s="20" t="n"/>
      <c r="D12" s="22" t="inlineStr">
        <is>
          <t>3</t>
        </is>
      </c>
    </row>
    <row r="13">
      <c r="A13" s="7" t="inlineStr">
        <is>
          <t>3</t>
        </is>
      </c>
      <c r="B13" s="17" t="inlineStr">
        <is>
          <t>Bens</t>
        </is>
      </c>
      <c r="C13" s="7" t="n">
        <v>1</v>
      </c>
      <c r="D13" s="7" t="inlineStr">
        <is>
          <t>4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9" t="n"/>
    </row>
    <row r="14">
      <c r="A14" s="7" t="inlineStr">
        <is>
          <t>4</t>
        </is>
      </c>
      <c r="B14" s="17" t="inlineStr">
        <is>
          <t>Fatos jurídicos</t>
        </is>
      </c>
      <c r="C14" s="7" t="n">
        <v>1</v>
      </c>
      <c r="D14" s="7" t="inlineStr">
        <is>
          <t>5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</row>
    <row r="15">
      <c r="A15" s="20" t="n"/>
      <c r="B15" s="21" t="inlineStr">
        <is>
          <t xml:space="preserve">    4.1 negócio jurídico</t>
        </is>
      </c>
      <c r="C15" s="20" t="n"/>
      <c r="D15" s="22" t="inlineStr">
        <is>
          <t>5</t>
        </is>
      </c>
    </row>
    <row r="16">
      <c r="A16" s="7" t="inlineStr">
        <is>
          <t>5</t>
        </is>
      </c>
      <c r="B16" s="17" t="inlineStr">
        <is>
          <t>Atos jurídicos lícitos e ilícitos</t>
        </is>
      </c>
      <c r="C16" s="7" t="n">
        <v>1</v>
      </c>
      <c r="D16" s="7" t="inlineStr">
        <is>
          <t>5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9" t="n"/>
    </row>
    <row r="17">
      <c r="A17" s="7" t="inlineStr">
        <is>
          <t>6</t>
        </is>
      </c>
      <c r="B17" s="17" t="inlineStr">
        <is>
          <t>Prescrição e decadência</t>
        </is>
      </c>
      <c r="C17" s="7" t="n">
        <v>1</v>
      </c>
      <c r="D17" s="7" t="inlineStr">
        <is>
          <t>5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</row>
    <row r="20">
      <c r="A20" s="9" t="inlineStr">
        <is>
          <t>REGISTRO DOS SIMULADOS DESTA MATÉRIA</t>
        </is>
      </c>
    </row>
    <row r="21">
      <c r="A21" s="3" t="inlineStr">
        <is>
          <t>Filtro</t>
        </is>
      </c>
      <c r="B21" s="3" t="inlineStr">
        <is>
          <t>Data</t>
        </is>
      </c>
      <c r="C21" s="3" t="inlineStr">
        <is>
          <t>Total</t>
        </is>
      </c>
      <c r="D21" s="3" t="inlineStr">
        <is>
          <t>Acertos</t>
        </is>
      </c>
      <c r="E21" s="3" t="inlineStr">
        <is>
          <t>Erros</t>
        </is>
      </c>
      <c r="F21" s="3" t="inlineStr">
        <is>
          <t>% Bruto</t>
        </is>
      </c>
      <c r="G21" s="3" t="inlineStr">
        <is>
          <t>% Líquido</t>
        </is>
      </c>
      <c r="H21" s="3" t="inlineStr">
        <is>
          <t>Veredito</t>
        </is>
      </c>
    </row>
    <row r="22">
      <c r="A22" s="13" t="inlineStr">
        <is>
          <t>exemplo — apague ou ignore</t>
        </is>
      </c>
      <c r="B22" s="13" t="inlineStr">
        <is>
          <t>15/09/2026</t>
        </is>
      </c>
      <c r="C22" s="13" t="n">
        <v>20</v>
      </c>
      <c r="D22" s="13" t="n">
        <v>18</v>
      </c>
      <c r="E22" s="13" t="n">
        <v>2</v>
      </c>
      <c r="F22" s="23">
        <f>IFERROR(D22/C22,"")</f>
        <v/>
      </c>
      <c r="G22" s="23">
        <f>IFERROR((D22-E22)/C22,"")</f>
        <v/>
      </c>
      <c r="H22" s="13">
        <f>IF(N(C22)=0,"",IF(D22/C22&gt;=0.9,"VENCEU","REPETE"))</f>
        <v/>
      </c>
    </row>
    <row r="23">
      <c r="A23" s="19" t="n"/>
      <c r="B23" s="19" t="n"/>
      <c r="C23" s="19" t="n"/>
      <c r="D23" s="19" t="n"/>
      <c r="E23" s="19" t="n"/>
      <c r="F23" s="24">
        <f>IFERROR(D23/C23,"")</f>
        <v/>
      </c>
      <c r="G23" s="24">
        <f>IFERROR((D23-E23)/C23,"")</f>
        <v/>
      </c>
      <c r="H23" s="20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D28D9"/>
    <outlinePr summaryBelow="1" summaryRight="1"/>
    <pageSetUpPr/>
  </sheetPr>
  <dimension ref="A1:M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Língua Portuguesa</t>
        </is>
      </c>
      <c r="E1" s="11" t="inlineStr">
        <is>
          <t>Bloco P1 · Sábado · 6 tópicos · 12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Compreensão e interpretação de textos de gêneros variados</t>
        </is>
      </c>
      <c r="C8" s="7" t="n">
        <v>3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7" t="inlineStr">
        <is>
          <t>2</t>
        </is>
      </c>
      <c r="B9" s="17" t="inlineStr">
        <is>
          <t>Reconhecimento de tipos e gêneros textuais</t>
        </is>
      </c>
      <c r="C9" s="7" t="n">
        <v>1</v>
      </c>
      <c r="D9" s="7" t="inlineStr">
        <is>
          <t>4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9" t="n"/>
    </row>
    <row r="10">
      <c r="A10" s="7" t="inlineStr">
        <is>
          <t>3</t>
        </is>
      </c>
      <c r="B10" s="17" t="inlineStr">
        <is>
          <t>Domínio da ortografia oficial</t>
        </is>
      </c>
      <c r="C10" s="7" t="n">
        <v>1</v>
      </c>
      <c r="D10" s="7" t="inlineStr">
        <is>
          <t>16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9" t="n"/>
    </row>
    <row r="11">
      <c r="A11" s="7" t="inlineStr">
        <is>
          <t>4</t>
        </is>
      </c>
      <c r="B11" s="17" t="inlineStr">
        <is>
          <t>Domínio dos mecanismos de coesão textual</t>
        </is>
      </c>
      <c r="C11" s="7" t="n">
        <v>2</v>
      </c>
      <c r="D11" s="7" t="inlineStr">
        <is>
          <t>5, 7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20" t="n"/>
      <c r="B12" s="21" t="inlineStr">
        <is>
          <t xml:space="preserve">    4.1 emprego de elementos de referenciação, substituição e repetição, de conectores e de outros elementos de sequenciação textual</t>
        </is>
      </c>
      <c r="C12" s="20" t="n"/>
      <c r="D12" s="22" t="inlineStr">
        <is>
          <t>5</t>
        </is>
      </c>
    </row>
    <row r="13">
      <c r="A13" s="20" t="n"/>
      <c r="B13" s="21" t="inlineStr">
        <is>
          <t xml:space="preserve">    4.2 emprego de tempos e modos verbais</t>
        </is>
      </c>
      <c r="C13" s="20" t="n"/>
      <c r="D13" s="22" t="inlineStr">
        <is>
          <t>7</t>
        </is>
      </c>
    </row>
    <row r="14">
      <c r="A14" s="7" t="inlineStr">
        <is>
          <t>5</t>
        </is>
      </c>
      <c r="B14" s="17" t="inlineStr">
        <is>
          <t>Domínio da estrutura morfossintática do período</t>
        </is>
      </c>
      <c r="C14" s="7" t="n">
        <v>3</v>
      </c>
      <c r="D14" s="7" t="inlineStr">
        <is>
          <t>7, 8, 9, 10, 11, 12, 13, 14, 15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 t="n"/>
    </row>
    <row r="15">
      <c r="A15" s="20" t="n"/>
      <c r="B15" s="21" t="inlineStr">
        <is>
          <t xml:space="preserve">    5.1 emprego das classes de palavras</t>
        </is>
      </c>
      <c r="C15" s="20" t="n"/>
      <c r="D15" s="22" t="inlineStr">
        <is>
          <t>7, 8</t>
        </is>
      </c>
    </row>
    <row r="16">
      <c r="A16" s="20" t="n"/>
      <c r="B16" s="21" t="inlineStr">
        <is>
          <t xml:space="preserve">    5.2 relações de coordenação entre orações e entre termos da oração</t>
        </is>
      </c>
      <c r="C16" s="20" t="n"/>
      <c r="D16" s="22" t="inlineStr">
        <is>
          <t>8, 10</t>
        </is>
      </c>
    </row>
    <row r="17">
      <c r="A17" s="20" t="n"/>
      <c r="B17" s="21" t="inlineStr">
        <is>
          <t xml:space="preserve">    5.3 relações de subordinação entre orações e entre termos da oração</t>
        </is>
      </c>
      <c r="C17" s="20" t="n"/>
      <c r="D17" s="22" t="inlineStr">
        <is>
          <t>8, 9</t>
        </is>
      </c>
    </row>
    <row r="18">
      <c r="A18" s="20" t="n"/>
      <c r="B18" s="21" t="inlineStr">
        <is>
          <t xml:space="preserve">    5.4 emprego dos sinais de pontuação</t>
        </is>
      </c>
      <c r="C18" s="20" t="n"/>
      <c r="D18" s="22" t="inlineStr">
        <is>
          <t>8, 11</t>
        </is>
      </c>
    </row>
    <row r="19">
      <c r="A19" s="20" t="n"/>
      <c r="B19" s="21" t="inlineStr">
        <is>
          <t xml:space="preserve">    5.5 concordância verbal e nominal</t>
        </is>
      </c>
      <c r="C19" s="20" t="n"/>
      <c r="D19" s="22" t="inlineStr">
        <is>
          <t>8, 14</t>
        </is>
      </c>
    </row>
    <row r="20">
      <c r="A20" s="20" t="n"/>
      <c r="B20" s="21" t="inlineStr">
        <is>
          <t xml:space="preserve">    5.6 regência verbal e nominal</t>
        </is>
      </c>
      <c r="C20" s="20" t="n"/>
      <c r="D20" s="22" t="inlineStr">
        <is>
          <t>8, 12</t>
        </is>
      </c>
    </row>
    <row r="21">
      <c r="A21" s="20" t="n"/>
      <c r="B21" s="21" t="inlineStr">
        <is>
          <t xml:space="preserve">    5.7 emprego do sinal indicativo de crase</t>
        </is>
      </c>
      <c r="C21" s="20" t="n"/>
      <c r="D21" s="22" t="inlineStr">
        <is>
          <t>8, 13</t>
        </is>
      </c>
    </row>
    <row r="22">
      <c r="A22" s="20" t="n"/>
      <c r="B22" s="21" t="inlineStr">
        <is>
          <t xml:space="preserve">    5.8 colocação dos pronomes átonos</t>
        </is>
      </c>
      <c r="C22" s="20" t="n"/>
      <c r="D22" s="22" t="inlineStr">
        <is>
          <t>8, 15</t>
        </is>
      </c>
    </row>
    <row r="23">
      <c r="A23" s="7" t="inlineStr">
        <is>
          <t>6</t>
        </is>
      </c>
      <c r="B23" s="17" t="inlineStr">
        <is>
          <t>Reescrita de frases e parágrafos do texto</t>
        </is>
      </c>
      <c r="C23" s="7" t="n">
        <v>2</v>
      </c>
      <c r="D23" s="7" t="inlineStr">
        <is>
          <t>3, 6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9" t="n"/>
    </row>
    <row r="24">
      <c r="A24" s="20" t="n"/>
      <c r="B24" s="21" t="inlineStr">
        <is>
          <t xml:space="preserve">    6.1 significação das palavras</t>
        </is>
      </c>
      <c r="C24" s="20" t="n"/>
      <c r="D24" s="22" t="inlineStr">
        <is>
          <t>3</t>
        </is>
      </c>
    </row>
    <row r="25">
      <c r="A25" s="20" t="n"/>
      <c r="B25" s="21" t="inlineStr">
        <is>
          <t xml:space="preserve">    6.2 substituição de palavras ou de trechos de texto</t>
        </is>
      </c>
      <c r="C25" s="20" t="n"/>
      <c r="D25" s="22" t="inlineStr">
        <is>
          <t>6</t>
        </is>
      </c>
    </row>
    <row r="26">
      <c r="A26" s="20" t="n"/>
      <c r="B26" s="21" t="inlineStr">
        <is>
          <t xml:space="preserve">    6.3 reorganização da estrutura de orações e de períodos do texto</t>
        </is>
      </c>
      <c r="C26" s="20" t="n"/>
      <c r="D26" s="25" t="inlineStr">
        <is>
          <t>(3, 6)</t>
        </is>
      </c>
    </row>
    <row r="27">
      <c r="A27" s="20" t="n"/>
      <c r="B27" s="21" t="inlineStr">
        <is>
          <t xml:space="preserve">    6.4 reescrita de textos de diferentes gêneros e níveis de formalidade</t>
        </is>
      </c>
      <c r="C27" s="20" t="n"/>
      <c r="D27" s="25" t="inlineStr">
        <is>
          <t>(3, 6)</t>
        </is>
      </c>
    </row>
    <row r="30">
      <c r="A30" s="9" t="inlineStr">
        <is>
          <t>REGISTRO DOS SIMULADOS DESTA MATÉRIA</t>
        </is>
      </c>
    </row>
    <row r="31">
      <c r="A31" s="3" t="inlineStr">
        <is>
          <t>Filtro</t>
        </is>
      </c>
      <c r="B31" s="3" t="inlineStr">
        <is>
          <t>Data</t>
        </is>
      </c>
      <c r="C31" s="3" t="inlineStr">
        <is>
          <t>Total</t>
        </is>
      </c>
      <c r="D31" s="3" t="inlineStr">
        <is>
          <t>Acertos</t>
        </is>
      </c>
      <c r="E31" s="3" t="inlineStr">
        <is>
          <t>Erros</t>
        </is>
      </c>
      <c r="F31" s="3" t="inlineStr">
        <is>
          <t>% Bruto</t>
        </is>
      </c>
      <c r="G31" s="3" t="inlineStr">
        <is>
          <t>% Líquido</t>
        </is>
      </c>
      <c r="H31" s="3" t="inlineStr">
        <is>
          <t>Veredito</t>
        </is>
      </c>
    </row>
    <row r="32">
      <c r="A32" s="13" t="inlineStr">
        <is>
          <t>exemplo — apague ou ignore</t>
        </is>
      </c>
      <c r="B32" s="13" t="inlineStr">
        <is>
          <t>15/09/2026</t>
        </is>
      </c>
      <c r="C32" s="13" t="n">
        <v>20</v>
      </c>
      <c r="D32" s="13" t="n">
        <v>18</v>
      </c>
      <c r="E32" s="13" t="n">
        <v>2</v>
      </c>
      <c r="F32" s="23">
        <f>IFERROR(D32/C32,"")</f>
        <v/>
      </c>
      <c r="G32" s="23">
        <f>IFERROR((D32-E32)/C32,"")</f>
        <v/>
      </c>
      <c r="H32" s="13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  <row r="44">
      <c r="A44" s="19" t="n"/>
      <c r="B44" s="19" t="n"/>
      <c r="C44" s="19" t="n"/>
      <c r="D44" s="19" t="n"/>
      <c r="E44" s="19" t="n"/>
      <c r="F44" s="24">
        <f>IFERROR(D44/C44,"")</f>
        <v/>
      </c>
      <c r="G44" s="24">
        <f>IFERROR((D44-E44)/C44,"")</f>
        <v/>
      </c>
      <c r="H44" s="20">
        <f>IF(N(C44)=0,"",IF(D44/C44&gt;=0.9,"VENCEU","REPETE"))</f>
        <v/>
      </c>
    </row>
    <row r="45">
      <c r="A45" s="19" t="n"/>
      <c r="B45" s="19" t="n"/>
      <c r="C45" s="19" t="n"/>
      <c r="D45" s="19" t="n"/>
      <c r="E45" s="19" t="n"/>
      <c r="F45" s="24">
        <f>IFERROR(D45/C45,"")</f>
        <v/>
      </c>
      <c r="G45" s="24">
        <f>IFERROR((D45-E45)/C45,"")</f>
        <v/>
      </c>
      <c r="H45" s="20">
        <f>IF(N(C45)=0,"",IF(D45/C45&gt;=0.9,"VENCEU","REPETE"))</f>
        <v/>
      </c>
    </row>
    <row r="46">
      <c r="A46" s="19" t="n"/>
      <c r="B46" s="19" t="n"/>
      <c r="C46" s="19" t="n"/>
      <c r="D46" s="19" t="n"/>
      <c r="E46" s="19" t="n"/>
      <c r="F46" s="24">
        <f>IFERROR(D46/C46,"")</f>
        <v/>
      </c>
      <c r="G46" s="24">
        <f>IFERROR((D46-E46)/C46,"")</f>
        <v/>
      </c>
      <c r="H46" s="20">
        <f>IF(N(C46)=0,"",IF(D46/C46&gt;=0.9,"VENCEU","REPETE"))</f>
        <v/>
      </c>
    </row>
    <row r="47">
      <c r="A47" s="19" t="n"/>
      <c r="B47" s="19" t="n"/>
      <c r="C47" s="19" t="n"/>
      <c r="D47" s="19" t="n"/>
      <c r="E47" s="19" t="n"/>
      <c r="F47" s="24">
        <f>IFERROR(D47/C47,"")</f>
        <v/>
      </c>
      <c r="G47" s="24">
        <f>IFERROR((D47-E47)/C47,"")</f>
        <v/>
      </c>
      <c r="H47" s="20">
        <f>IF(N(C47)=0,"",IF(D47/C47&gt;=0.9,"VENCEU","REPETE"))</f>
        <v/>
      </c>
    </row>
    <row r="48">
      <c r="A48" s="19" t="n"/>
      <c r="B48" s="19" t="n"/>
      <c r="C48" s="19" t="n"/>
      <c r="D48" s="19" t="n"/>
      <c r="E48" s="19" t="n"/>
      <c r="F48" s="24">
        <f>IFERROR(D48/C48,"")</f>
        <v/>
      </c>
      <c r="G48" s="24">
        <f>IFERROR((D48-E48)/C48,"")</f>
        <v/>
      </c>
      <c r="H48" s="20">
        <f>IF(N(C48)=0,"",IF(D48/C48&gt;=0.9,"VENCEU","REPETE"))</f>
        <v/>
      </c>
    </row>
    <row r="49">
      <c r="A49" s="19" t="n"/>
      <c r="B49" s="19" t="n"/>
      <c r="C49" s="19" t="n"/>
      <c r="D49" s="19" t="n"/>
      <c r="E49" s="19" t="n"/>
      <c r="F49" s="24">
        <f>IFERROR(D49/C49,"")</f>
        <v/>
      </c>
      <c r="G49" s="24">
        <f>IFERROR((D49-E49)/C49,"")</f>
        <v/>
      </c>
      <c r="H49" s="20">
        <f>IF(N(C49)=0,"",IF(D49/C49&gt;=0.9,"VENCEU","REPETE"))</f>
        <v/>
      </c>
    </row>
    <row r="50">
      <c r="A50" s="19" t="n"/>
      <c r="B50" s="19" t="n"/>
      <c r="C50" s="19" t="n"/>
      <c r="D50" s="19" t="n"/>
      <c r="E50" s="19" t="n"/>
      <c r="F50" s="24">
        <f>IFERROR(D50/C50,"")</f>
        <v/>
      </c>
      <c r="G50" s="24">
        <f>IFERROR((D50-E50)/C50,"")</f>
        <v/>
      </c>
      <c r="H50" s="20">
        <f>IF(N(C50)=0,"",IF(D50/C50&gt;=0.9,"VENCEU","REPETE"))</f>
        <v/>
      </c>
    </row>
    <row r="51">
      <c r="A51" s="19" t="n"/>
      <c r="B51" s="19" t="n"/>
      <c r="C51" s="19" t="n"/>
      <c r="D51" s="19" t="n"/>
      <c r="E51" s="19" t="n"/>
      <c r="F51" s="24">
        <f>IFERROR(D51/C51,"")</f>
        <v/>
      </c>
      <c r="G51" s="24">
        <f>IFERROR((D51-E51)/C51,"")</f>
        <v/>
      </c>
      <c r="H51" s="20">
        <f>IF(N(C51)=0,"",IF(D51/C51&gt;=0.9,"VENCEU","REPETE"))</f>
        <v/>
      </c>
    </row>
    <row r="52">
      <c r="A52" s="19" t="n"/>
      <c r="B52" s="19" t="n"/>
      <c r="C52" s="19" t="n"/>
      <c r="D52" s="19" t="n"/>
      <c r="E52" s="19" t="n"/>
      <c r="F52" s="24">
        <f>IFERROR(D52/C52,"")</f>
        <v/>
      </c>
      <c r="G52" s="24">
        <f>IFERROR((D52-E52)/C52,"")</f>
        <v/>
      </c>
      <c r="H52" s="20">
        <f>IF(N(C52)=0,"",IF(D52/C52&gt;=0.9,"VENCEU","REPETE"))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D28D9"/>
    <outlinePr summaryBelow="1" summaryRight="1"/>
    <pageSetUpPr/>
  </sheetPr>
  <dimension ref="A1:M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Raciocínio Lógico e Matemática Financeira</t>
        </is>
      </c>
      <c r="E1" s="11" t="inlineStr">
        <is>
          <t>Bloco P1 · Sábado · 7 tópicos · 10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Estruturas lógicas</t>
        </is>
      </c>
      <c r="C8" s="7" t="n">
        <v>1</v>
      </c>
      <c r="D8" s="7" t="inlineStr">
        <is>
          <t>1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7" t="inlineStr">
        <is>
          <t>2</t>
        </is>
      </c>
      <c r="B9" s="17" t="inlineStr">
        <is>
          <t>Lógica de argumentação</t>
        </is>
      </c>
      <c r="C9" s="7" t="n">
        <v>1</v>
      </c>
      <c r="D9" s="7" t="inlineStr">
        <is>
          <t>1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9" t="n"/>
    </row>
    <row r="10">
      <c r="A10" s="20" t="n"/>
      <c r="B10" s="21" t="inlineStr">
        <is>
          <t xml:space="preserve">    2.1 analogias, inferências, deduções e conclusões</t>
        </is>
      </c>
      <c r="C10" s="20" t="n"/>
      <c r="D10" s="22" t="inlineStr">
        <is>
          <t>1</t>
        </is>
      </c>
    </row>
    <row r="11">
      <c r="A11" s="7" t="inlineStr">
        <is>
          <t>3</t>
        </is>
      </c>
      <c r="B11" s="17" t="inlineStr">
        <is>
          <t>Lógica sentencial (ou proposicional)</t>
        </is>
      </c>
      <c r="C11" s="7" t="n">
        <v>3</v>
      </c>
      <c r="D11" s="7" t="inlineStr">
        <is>
          <t>1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9" t="n"/>
    </row>
    <row r="12">
      <c r="A12" s="20" t="n"/>
      <c r="B12" s="21" t="inlineStr">
        <is>
          <t xml:space="preserve">    3.1 proposições simples e compostas</t>
        </is>
      </c>
      <c r="C12" s="20" t="n"/>
      <c r="D12" s="22" t="inlineStr">
        <is>
          <t>1</t>
        </is>
      </c>
    </row>
    <row r="13">
      <c r="A13" s="20" t="n"/>
      <c r="B13" s="21" t="inlineStr">
        <is>
          <t xml:space="preserve">    3.2 tabelas-verdade</t>
        </is>
      </c>
      <c r="C13" s="20" t="n"/>
      <c r="D13" s="22" t="inlineStr">
        <is>
          <t>1</t>
        </is>
      </c>
    </row>
    <row r="14">
      <c r="A14" s="20" t="n"/>
      <c r="B14" s="21" t="inlineStr">
        <is>
          <t xml:space="preserve">    3.3 equivalências</t>
        </is>
      </c>
      <c r="C14" s="20" t="n"/>
      <c r="D14" s="22" t="inlineStr">
        <is>
          <t>1</t>
        </is>
      </c>
    </row>
    <row r="15">
      <c r="A15" s="20" t="n"/>
      <c r="B15" s="21" t="inlineStr">
        <is>
          <t xml:space="preserve">    3.4 leis de De Morgan</t>
        </is>
      </c>
      <c r="C15" s="20" t="n"/>
      <c r="D15" s="22" t="inlineStr">
        <is>
          <t>1</t>
        </is>
      </c>
    </row>
    <row r="16">
      <c r="A16" s="20" t="n"/>
      <c r="B16" s="21" t="inlineStr">
        <is>
          <t xml:space="preserve">    3.5 diagramas lógicos</t>
        </is>
      </c>
      <c r="C16" s="20" t="n"/>
      <c r="D16" s="22" t="inlineStr">
        <is>
          <t>1</t>
        </is>
      </c>
    </row>
    <row r="17">
      <c r="A17" s="7" t="inlineStr">
        <is>
          <t>4</t>
        </is>
      </c>
      <c r="B17" s="17" t="inlineStr">
        <is>
          <t>Lógica de primeira ordem</t>
        </is>
      </c>
      <c r="C17" s="7" t="n">
        <v>1</v>
      </c>
      <c r="D17" s="7" t="inlineStr">
        <is>
          <t>1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9" t="n"/>
    </row>
    <row r="18">
      <c r="A18" s="7" t="inlineStr">
        <is>
          <t>5</t>
        </is>
      </c>
      <c r="B18" s="17" t="inlineStr">
        <is>
          <t>Princípios de contagem e probabilidade</t>
        </is>
      </c>
      <c r="C18" s="7" t="n">
        <v>1</v>
      </c>
      <c r="D18" s="7" t="inlineStr">
        <is>
          <t>2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9" t="n"/>
    </row>
    <row r="19">
      <c r="A19" s="7" t="inlineStr">
        <is>
          <t>6</t>
        </is>
      </c>
      <c r="B19" s="17" t="inlineStr">
        <is>
          <t>Operações com conjuntos</t>
        </is>
      </c>
      <c r="C19" s="7" t="n">
        <v>1</v>
      </c>
      <c r="D19" s="7" t="inlineStr">
        <is>
          <t>2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9" t="n"/>
    </row>
    <row r="20">
      <c r="A20" s="7" t="inlineStr">
        <is>
          <t>7</t>
        </is>
      </c>
      <c r="B20" s="17" t="inlineStr">
        <is>
          <t>Matemática financeira</t>
        </is>
      </c>
      <c r="C20" s="7" t="n">
        <v>2</v>
      </c>
      <c r="D20" s="7" t="inlineStr">
        <is>
          <t>3</t>
        </is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9" t="n"/>
    </row>
    <row r="21">
      <c r="A21" s="20" t="n"/>
      <c r="B21" s="21" t="inlineStr">
        <is>
          <t xml:space="preserve">    7.1 razão e proporção, porcentagem, juros simples e compostos, taxas de juros (nominal, efetiva, equivalente), sistemas de amortização e fluxo de caixa</t>
        </is>
      </c>
      <c r="C21" s="20" t="n"/>
      <c r="D21" s="22" t="inlineStr">
        <is>
          <t>3</t>
        </is>
      </c>
    </row>
    <row r="24">
      <c r="A24" s="9" t="inlineStr">
        <is>
          <t>REGISTRO DOS SIMULADOS DESTA MATÉRIA</t>
        </is>
      </c>
    </row>
    <row r="25">
      <c r="A25" s="3" t="inlineStr">
        <is>
          <t>Filtro</t>
        </is>
      </c>
      <c r="B25" s="3" t="inlineStr">
        <is>
          <t>Data</t>
        </is>
      </c>
      <c r="C25" s="3" t="inlineStr">
        <is>
          <t>Total</t>
        </is>
      </c>
      <c r="D25" s="3" t="inlineStr">
        <is>
          <t>Acertos</t>
        </is>
      </c>
      <c r="E25" s="3" t="inlineStr">
        <is>
          <t>Erros</t>
        </is>
      </c>
      <c r="F25" s="3" t="inlineStr">
        <is>
          <t>% Bruto</t>
        </is>
      </c>
      <c r="G25" s="3" t="inlineStr">
        <is>
          <t>% Líquido</t>
        </is>
      </c>
      <c r="H25" s="3" t="inlineStr">
        <is>
          <t>Veredito</t>
        </is>
      </c>
    </row>
    <row r="26">
      <c r="A26" s="13" t="inlineStr">
        <is>
          <t>exemplo — apague ou ignore</t>
        </is>
      </c>
      <c r="B26" s="13" t="inlineStr">
        <is>
          <t>15/09/2026</t>
        </is>
      </c>
      <c r="C26" s="13" t="n">
        <v>20</v>
      </c>
      <c r="D26" s="13" t="n">
        <v>18</v>
      </c>
      <c r="E26" s="13" t="n">
        <v>2</v>
      </c>
      <c r="F26" s="23">
        <f>IFERROR(D26/C26,"")</f>
        <v/>
      </c>
      <c r="G26" s="23">
        <f>IFERROR((D26-E26)/C26,"")</f>
        <v/>
      </c>
      <c r="H26" s="13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  <row r="43">
      <c r="A43" s="19" t="n"/>
      <c r="B43" s="19" t="n"/>
      <c r="C43" s="19" t="n"/>
      <c r="D43" s="19" t="n"/>
      <c r="E43" s="19" t="n"/>
      <c r="F43" s="24">
        <f>IFERROR(D43/C43,"")</f>
        <v/>
      </c>
      <c r="G43" s="24">
        <f>IFERROR((D43-E43)/C43,"")</f>
        <v/>
      </c>
      <c r="H43" s="20">
        <f>IF(N(C43)=0,"",IF(D43/C43&gt;=0.9,"VENCEU","REPETE"))</f>
        <v/>
      </c>
    </row>
    <row r="44">
      <c r="A44" s="19" t="n"/>
      <c r="B44" s="19" t="n"/>
      <c r="C44" s="19" t="n"/>
      <c r="D44" s="19" t="n"/>
      <c r="E44" s="19" t="n"/>
      <c r="F44" s="24">
        <f>IFERROR(D44/C44,"")</f>
        <v/>
      </c>
      <c r="G44" s="24">
        <f>IFERROR((D44-E44)/C44,"")</f>
        <v/>
      </c>
      <c r="H44" s="20">
        <f>IF(N(C44)=0,"",IF(D44/C44&gt;=0.9,"VENCEU","REPETE"))</f>
        <v/>
      </c>
    </row>
    <row r="45">
      <c r="A45" s="19" t="n"/>
      <c r="B45" s="19" t="n"/>
      <c r="C45" s="19" t="n"/>
      <c r="D45" s="19" t="n"/>
      <c r="E45" s="19" t="n"/>
      <c r="F45" s="24">
        <f>IFERROR(D45/C45,"")</f>
        <v/>
      </c>
      <c r="G45" s="24">
        <f>IFERROR((D45-E45)/C45,"")</f>
        <v/>
      </c>
      <c r="H45" s="20">
        <f>IF(N(C45)=0,"",IF(D45/C45&gt;=0.9,"VENCEU","REPETE"))</f>
        <v/>
      </c>
    </row>
    <row r="46">
      <c r="A46" s="19" t="n"/>
      <c r="B46" s="19" t="n"/>
      <c r="C46" s="19" t="n"/>
      <c r="D46" s="19" t="n"/>
      <c r="E46" s="19" t="n"/>
      <c r="F46" s="24">
        <f>IFERROR(D46/C46,"")</f>
        <v/>
      </c>
      <c r="G46" s="24">
        <f>IFERROR((D46-E46)/C46,"")</f>
        <v/>
      </c>
      <c r="H46" s="20">
        <f>IF(N(C46)=0,"",IF(D46/C46&gt;=0.9,"VENCEU","REPETE"))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D28D9"/>
    <outlinePr summaryBelow="1" summaryRight="1"/>
    <pageSetUpPr/>
  </sheetPr>
  <dimension ref="A1:M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Conhecimentos do Distrito Federal e Política para Mulheres</t>
        </is>
      </c>
      <c r="E1" s="11" t="inlineStr">
        <is>
          <t>Bloco P1 · Sábado · 3 tópicos · 4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Domínio de tópicos atuais e relevantes acerca da realidade étnica, social, histórica, geográfica, cultural, política e econômica do Distrito Federal e da Região Integrada de Desenvolvimento do Distrito Federal e Entorno (RIDE) (Lei Complementar federal nº 94/1998 e Decreto federal nº 7.469/2011)</t>
        </is>
      </c>
      <c r="C8" s="7" t="n">
        <v>2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7" t="inlineStr">
        <is>
          <t>2</t>
        </is>
      </c>
      <c r="B9" s="17" t="inlineStr">
        <is>
          <t>Plano Distrital de Política para Mulheres (2020–2023)</t>
        </is>
      </c>
      <c r="C9" s="7" t="n">
        <v>1</v>
      </c>
      <c r="D9" s="7" t="inlineStr">
        <is>
          <t>3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9" t="n"/>
    </row>
    <row r="10">
      <c r="A10" s="7" t="inlineStr">
        <is>
          <t>3</t>
        </is>
      </c>
      <c r="B10" s="17" t="inlineStr">
        <is>
          <t>Lei Federal nº 11.340/2006 – Lei Maria da Penha</t>
        </is>
      </c>
      <c r="C10" s="7" t="n">
        <v>1</v>
      </c>
      <c r="D10" s="7" t="inlineStr">
        <is>
          <t>4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9" t="n"/>
    </row>
    <row r="13">
      <c r="A13" s="9" t="inlineStr">
        <is>
          <t>REGISTRO DOS SIMULADOS DESTA MATÉRIA</t>
        </is>
      </c>
    </row>
    <row r="14">
      <c r="A14" s="3" t="inlineStr">
        <is>
          <t>Filtro</t>
        </is>
      </c>
      <c r="B14" s="3" t="inlineStr">
        <is>
          <t>Data</t>
        </is>
      </c>
      <c r="C14" s="3" t="inlineStr">
        <is>
          <t>Total</t>
        </is>
      </c>
      <c r="D14" s="3" t="inlineStr">
        <is>
          <t>Acertos</t>
        </is>
      </c>
      <c r="E14" s="3" t="inlineStr">
        <is>
          <t>Erros</t>
        </is>
      </c>
      <c r="F14" s="3" t="inlineStr">
        <is>
          <t>% Bruto</t>
        </is>
      </c>
      <c r="G14" s="3" t="inlineStr">
        <is>
          <t>% Líquido</t>
        </is>
      </c>
      <c r="H14" s="3" t="inlineStr">
        <is>
          <t>Veredito</t>
        </is>
      </c>
    </row>
    <row r="15">
      <c r="A15" s="13" t="inlineStr">
        <is>
          <t>exemplo — apague ou ignore</t>
        </is>
      </c>
      <c r="B15" s="13" t="inlineStr">
        <is>
          <t>15/09/2026</t>
        </is>
      </c>
      <c r="C15" s="13" t="n">
        <v>20</v>
      </c>
      <c r="D15" s="13" t="n">
        <v>18</v>
      </c>
      <c r="E15" s="13" t="n">
        <v>2</v>
      </c>
      <c r="F15" s="23">
        <f>IFERROR(D15/C15,"")</f>
        <v/>
      </c>
      <c r="G15" s="23">
        <f>IFERROR((D15-E15)/C15,"")</f>
        <v/>
      </c>
      <c r="H15" s="13">
        <f>IF(N(C15)=0,"",IF(D15/C15&gt;=0.9,"VENCEU","REPETE"))</f>
        <v/>
      </c>
    </row>
    <row r="16">
      <c r="A16" s="19" t="n"/>
      <c r="B16" s="19" t="n"/>
      <c r="C16" s="19" t="n"/>
      <c r="D16" s="19" t="n"/>
      <c r="E16" s="19" t="n"/>
      <c r="F16" s="24">
        <f>IFERROR(D16/C16,"")</f>
        <v/>
      </c>
      <c r="G16" s="24">
        <f>IFERROR((D16-E16)/C16,"")</f>
        <v/>
      </c>
      <c r="H16" s="20">
        <f>IF(N(C16)=0,"",IF(D16/C16&gt;=0.9,"VENCEU","REPETE"))</f>
        <v/>
      </c>
    </row>
    <row r="17">
      <c r="A17" s="19" t="n"/>
      <c r="B17" s="19" t="n"/>
      <c r="C17" s="19" t="n"/>
      <c r="D17" s="19" t="n"/>
      <c r="E17" s="19" t="n"/>
      <c r="F17" s="24">
        <f>IFERROR(D17/C17,"")</f>
        <v/>
      </c>
      <c r="G17" s="24">
        <f>IFERROR((D17-E17)/C17,"")</f>
        <v/>
      </c>
      <c r="H17" s="20">
        <f>IF(N(C17)=0,"",IF(D17/C17&gt;=0.9,"VENCEU","REPETE"))</f>
        <v/>
      </c>
    </row>
    <row r="18">
      <c r="A18" s="19" t="n"/>
      <c r="B18" s="19" t="n"/>
      <c r="C18" s="19" t="n"/>
      <c r="D18" s="19" t="n"/>
      <c r="E18" s="19" t="n"/>
      <c r="F18" s="24">
        <f>IFERROR(D18/C18,"")</f>
        <v/>
      </c>
      <c r="G18" s="24">
        <f>IFERROR((D18-E18)/C18,"")</f>
        <v/>
      </c>
      <c r="H18" s="20">
        <f>IF(N(C18)=0,"",IF(D18/C18&gt;=0.9,"VENCEU","REPETE"))</f>
        <v/>
      </c>
    </row>
    <row r="19">
      <c r="A19" s="19" t="n"/>
      <c r="B19" s="19" t="n"/>
      <c r="C19" s="19" t="n"/>
      <c r="D19" s="19" t="n"/>
      <c r="E19" s="19" t="n"/>
      <c r="F19" s="24">
        <f>IFERROR(D19/C19,"")</f>
        <v/>
      </c>
      <c r="G19" s="24">
        <f>IFERROR((D19-E19)/C19,"")</f>
        <v/>
      </c>
      <c r="H19" s="20">
        <f>IF(N(C19)=0,"",IF(D19/C19&gt;=0.9,"VENCEU","REPETE"))</f>
        <v/>
      </c>
    </row>
    <row r="20">
      <c r="A20" s="19" t="n"/>
      <c r="B20" s="19" t="n"/>
      <c r="C20" s="19" t="n"/>
      <c r="D20" s="19" t="n"/>
      <c r="E20" s="19" t="n"/>
      <c r="F20" s="24">
        <f>IFERROR(D20/C20,"")</f>
        <v/>
      </c>
      <c r="G20" s="24">
        <f>IFERROR((D20-E20)/C20,"")</f>
        <v/>
      </c>
      <c r="H20" s="20">
        <f>IF(N(C20)=0,"",IF(D20/C20&gt;=0.9,"VENCEU","REPETE"))</f>
        <v/>
      </c>
    </row>
    <row r="21">
      <c r="A21" s="19" t="n"/>
      <c r="B21" s="19" t="n"/>
      <c r="C21" s="19" t="n"/>
      <c r="D21" s="19" t="n"/>
      <c r="E21" s="19" t="n"/>
      <c r="F21" s="24">
        <f>IFERROR(D21/C21,"")</f>
        <v/>
      </c>
      <c r="G21" s="24">
        <f>IFERROR((D21-E21)/C21,"")</f>
        <v/>
      </c>
      <c r="H21" s="20">
        <f>IF(N(C21)=0,"",IF(D21/C21&gt;=0.9,"VENCEU","REPETE"))</f>
        <v/>
      </c>
    </row>
    <row r="22">
      <c r="A22" s="19" t="n"/>
      <c r="B22" s="19" t="n"/>
      <c r="C22" s="19" t="n"/>
      <c r="D22" s="19" t="n"/>
      <c r="E22" s="19" t="n"/>
      <c r="F22" s="24">
        <f>IFERROR(D22/C22,"")</f>
        <v/>
      </c>
      <c r="G22" s="24">
        <f>IFERROR((D22-E22)/C22,"")</f>
        <v/>
      </c>
      <c r="H22" s="20">
        <f>IF(N(C22)=0,"",IF(D22/C22&gt;=0.9,"VENCEU","REPETE"))</f>
        <v/>
      </c>
    </row>
    <row r="23">
      <c r="A23" s="19" t="n"/>
      <c r="B23" s="19" t="n"/>
      <c r="C23" s="19" t="n"/>
      <c r="D23" s="19" t="n"/>
      <c r="E23" s="19" t="n"/>
      <c r="F23" s="24">
        <f>IFERROR(D23/C23,"")</f>
        <v/>
      </c>
      <c r="G23" s="24">
        <f>IFERROR((D23-E23)/C23,"")</f>
        <v/>
      </c>
      <c r="H23" s="20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D28D9"/>
    <outlinePr summaryBelow="1" summaryRight="1"/>
    <pageSetUpPr/>
  </sheetPr>
  <dimension ref="A1:M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6" customWidth="1" min="3" max="3"/>
    <col width="10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</cols>
  <sheetData>
    <row r="1">
      <c r="A1" s="12" t="inlineStr">
        <is>
          <t>Noções de Primeiros Socorros</t>
        </is>
      </c>
      <c r="E1" s="11" t="inlineStr">
        <is>
          <t>Bloco P1 · Sábado · 1 tópicos · 3 itens estimados do edital</t>
        </is>
      </c>
    </row>
    <row r="2">
      <c r="A2" s="13" t="inlineStr">
        <is>
          <t>Escreva o nome de cada filtro na linha 4 e marque X nas linhas do que ele sorteia. Amarelo = você preenche. Aula entre parênteses = a aula cobre o tópico, mas o rótulo dela não cita esse subtópico.</t>
        </is>
      </c>
    </row>
    <row r="4">
      <c r="D4" s="14" t="inlineStr">
        <is>
          <t>Nome do filtro no Gran →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6" t="inlineStr">
        <is>
          <t>GERAL N2</t>
        </is>
      </c>
    </row>
    <row r="5">
      <c r="D5" s="14" t="inlineStr">
        <is>
          <t>Este filtro venceu (≥90%)? →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7">
      <c r="A7" s="3" t="inlineStr">
        <is>
          <t>Nº</t>
        </is>
      </c>
      <c r="B7" s="3" t="inlineStr">
        <is>
          <t>Tópico e subtópico do edital</t>
        </is>
      </c>
      <c r="C7" s="3" t="inlineStr">
        <is>
          <t>Peso</t>
        </is>
      </c>
      <c r="D7" s="3" t="inlineStr">
        <is>
          <t>Aula Gran</t>
        </is>
      </c>
      <c r="E7" s="3" t="inlineStr">
        <is>
          <t>F1</t>
        </is>
      </c>
      <c r="F7" s="3" t="inlineStr">
        <is>
          <t>F2</t>
        </is>
      </c>
      <c r="G7" s="3" t="inlineStr">
        <is>
          <t>F3</t>
        </is>
      </c>
      <c r="H7" s="3" t="inlineStr">
        <is>
          <t>F4</t>
        </is>
      </c>
      <c r="I7" s="3" t="inlineStr">
        <is>
          <t>F5</t>
        </is>
      </c>
      <c r="J7" s="3" t="inlineStr">
        <is>
          <t>F6</t>
        </is>
      </c>
      <c r="K7" s="3" t="inlineStr">
        <is>
          <t>F7</t>
        </is>
      </c>
      <c r="L7" s="3" t="inlineStr">
        <is>
          <t>F8</t>
        </is>
      </c>
      <c r="M7" s="3" t="inlineStr">
        <is>
          <t>GERAL N2</t>
        </is>
      </c>
    </row>
    <row r="8">
      <c r="A8" s="7" t="inlineStr">
        <is>
          <t>1</t>
        </is>
      </c>
      <c r="B8" s="17" t="inlineStr">
        <is>
          <t>Cuidados iniciais com a vítima, reconhecimento de situações de urgência e emergência, acionamento do socorro especializado e condutas básicas em casos de engasgo, sangramento, fratura, queimadura, desmaio, convulsão e intoxicação</t>
        </is>
      </c>
      <c r="C8" s="7" t="n">
        <v>3</v>
      </c>
      <c r="D8" s="7" t="inlineStr">
        <is>
          <t>2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9" t="n"/>
    </row>
    <row r="9">
      <c r="A9" s="20" t="n"/>
      <c r="B9" s="21" t="inlineStr">
        <is>
          <t xml:space="preserve">    Avaliação da cena, segurança do socorrista e avaliação da vítima (subdivisão sugerida)</t>
        </is>
      </c>
      <c r="C9" s="20" t="n"/>
      <c r="D9" s="22" t="inlineStr"/>
    </row>
    <row r="10">
      <c r="A10" s="20" t="n"/>
      <c r="B10" s="21" t="inlineStr">
        <is>
          <t xml:space="preserve">    Reconhecimento de urgência e emergência e acionamento do socorro (SAMU 192 / Bombeiros 193) (subdivisão sugerida)</t>
        </is>
      </c>
      <c r="C10" s="20" t="n"/>
      <c r="D10" s="22" t="inlineStr"/>
    </row>
    <row r="11">
      <c r="A11" s="20" t="n"/>
      <c r="B11" s="21" t="inlineStr">
        <is>
          <t xml:space="preserve">    Engasgo (obstrução de via aérea) e manobra de desobstrução (subdivisão sugerida)</t>
        </is>
      </c>
      <c r="C11" s="20" t="n"/>
      <c r="D11" s="22" t="inlineStr"/>
    </row>
    <row r="12">
      <c r="A12" s="20" t="n"/>
      <c r="B12" s="21" t="inlineStr">
        <is>
          <t xml:space="preserve">    Sangramento e controle de hemorragia (subdivisão sugerida)</t>
        </is>
      </c>
      <c r="C12" s="20" t="n"/>
      <c r="D12" s="22" t="inlineStr"/>
    </row>
    <row r="13">
      <c r="A13" s="20" t="n"/>
      <c r="B13" s="21" t="inlineStr">
        <is>
          <t xml:space="preserve">    Fratura e imobilização (subdivisão sugerida)</t>
        </is>
      </c>
      <c r="C13" s="20" t="n"/>
      <c r="D13" s="22" t="inlineStr"/>
    </row>
    <row r="14">
      <c r="A14" s="20" t="n"/>
      <c r="B14" s="21" t="inlineStr">
        <is>
          <t xml:space="preserve">    Queimadura (subdivisão sugerida)</t>
        </is>
      </c>
      <c r="C14" s="20" t="n"/>
      <c r="D14" s="22" t="inlineStr"/>
    </row>
    <row r="15">
      <c r="A15" s="20" t="n"/>
      <c r="B15" s="21" t="inlineStr">
        <is>
          <t xml:space="preserve">    Desmaio (subdivisão sugerida)</t>
        </is>
      </c>
      <c r="C15" s="20" t="n"/>
      <c r="D15" s="22" t="inlineStr"/>
    </row>
    <row r="16">
      <c r="A16" s="20" t="n"/>
      <c r="B16" s="21" t="inlineStr">
        <is>
          <t xml:space="preserve">    Convulsão (subdivisão sugerida)</t>
        </is>
      </c>
      <c r="C16" s="20" t="n"/>
      <c r="D16" s="22" t="inlineStr"/>
    </row>
    <row r="17">
      <c r="A17" s="20" t="n"/>
      <c r="B17" s="21" t="inlineStr">
        <is>
          <t xml:space="preserve">    Intoxicação (subdivisão sugerida)</t>
        </is>
      </c>
      <c r="C17" s="20" t="n"/>
      <c r="D17" s="22" t="inlineStr"/>
    </row>
    <row r="20">
      <c r="A20" s="9" t="inlineStr">
        <is>
          <t>REGISTRO DOS SIMULADOS DESTA MATÉRIA</t>
        </is>
      </c>
    </row>
    <row r="21">
      <c r="A21" s="3" t="inlineStr">
        <is>
          <t>Filtro</t>
        </is>
      </c>
      <c r="B21" s="3" t="inlineStr">
        <is>
          <t>Data</t>
        </is>
      </c>
      <c r="C21" s="3" t="inlineStr">
        <is>
          <t>Total</t>
        </is>
      </c>
      <c r="D21" s="3" t="inlineStr">
        <is>
          <t>Acertos</t>
        </is>
      </c>
      <c r="E21" s="3" t="inlineStr">
        <is>
          <t>Erros</t>
        </is>
      </c>
      <c r="F21" s="3" t="inlineStr">
        <is>
          <t>% Bruto</t>
        </is>
      </c>
      <c r="G21" s="3" t="inlineStr">
        <is>
          <t>% Líquido</t>
        </is>
      </c>
      <c r="H21" s="3" t="inlineStr">
        <is>
          <t>Veredito</t>
        </is>
      </c>
    </row>
    <row r="22">
      <c r="A22" s="13" t="inlineStr">
        <is>
          <t>exemplo — apague ou ignore</t>
        </is>
      </c>
      <c r="B22" s="13" t="inlineStr">
        <is>
          <t>15/09/2026</t>
        </is>
      </c>
      <c r="C22" s="13" t="n">
        <v>20</v>
      </c>
      <c r="D22" s="13" t="n">
        <v>18</v>
      </c>
      <c r="E22" s="13" t="n">
        <v>2</v>
      </c>
      <c r="F22" s="23">
        <f>IFERROR(D22/C22,"")</f>
        <v/>
      </c>
      <c r="G22" s="23">
        <f>IFERROR((D22-E22)/C22,"")</f>
        <v/>
      </c>
      <c r="H22" s="13">
        <f>IF(N(C22)=0,"",IF(D22/C22&gt;=0.9,"VENCEU","REPETE"))</f>
        <v/>
      </c>
    </row>
    <row r="23">
      <c r="A23" s="19" t="n"/>
      <c r="B23" s="19" t="n"/>
      <c r="C23" s="19" t="n"/>
      <c r="D23" s="19" t="n"/>
      <c r="E23" s="19" t="n"/>
      <c r="F23" s="24">
        <f>IFERROR(D23/C23,"")</f>
        <v/>
      </c>
      <c r="G23" s="24">
        <f>IFERROR((D23-E23)/C23,"")</f>
        <v/>
      </c>
      <c r="H23" s="20">
        <f>IF(N(C23)=0,"",IF(D23/C23&gt;=0.9,"VENCEU","REPETE"))</f>
        <v/>
      </c>
    </row>
    <row r="24">
      <c r="A24" s="19" t="n"/>
      <c r="B24" s="19" t="n"/>
      <c r="C24" s="19" t="n"/>
      <c r="D24" s="19" t="n"/>
      <c r="E24" s="19" t="n"/>
      <c r="F24" s="24">
        <f>IFERROR(D24/C24,"")</f>
        <v/>
      </c>
      <c r="G24" s="24">
        <f>IFERROR((D24-E24)/C24,"")</f>
        <v/>
      </c>
      <c r="H24" s="20">
        <f>IF(N(C24)=0,"",IF(D24/C24&gt;=0.9,"VENCEU","REPETE"))</f>
        <v/>
      </c>
    </row>
    <row r="25">
      <c r="A25" s="19" t="n"/>
      <c r="B25" s="19" t="n"/>
      <c r="C25" s="19" t="n"/>
      <c r="D25" s="19" t="n"/>
      <c r="E25" s="19" t="n"/>
      <c r="F25" s="24">
        <f>IFERROR(D25/C25,"")</f>
        <v/>
      </c>
      <c r="G25" s="24">
        <f>IFERROR((D25-E25)/C25,"")</f>
        <v/>
      </c>
      <c r="H25" s="20">
        <f>IF(N(C25)=0,"",IF(D25/C25&gt;=0.9,"VENCEU","REPETE"))</f>
        <v/>
      </c>
    </row>
    <row r="26">
      <c r="A26" s="19" t="n"/>
      <c r="B26" s="19" t="n"/>
      <c r="C26" s="19" t="n"/>
      <c r="D26" s="19" t="n"/>
      <c r="E26" s="19" t="n"/>
      <c r="F26" s="24">
        <f>IFERROR(D26/C26,"")</f>
        <v/>
      </c>
      <c r="G26" s="24">
        <f>IFERROR((D26-E26)/C26,"")</f>
        <v/>
      </c>
      <c r="H26" s="20">
        <f>IF(N(C26)=0,"",IF(D26/C26&gt;=0.9,"VENCEU","REPETE"))</f>
        <v/>
      </c>
    </row>
    <row r="27">
      <c r="A27" s="19" t="n"/>
      <c r="B27" s="19" t="n"/>
      <c r="C27" s="19" t="n"/>
      <c r="D27" s="19" t="n"/>
      <c r="E27" s="19" t="n"/>
      <c r="F27" s="24">
        <f>IFERROR(D27/C27,"")</f>
        <v/>
      </c>
      <c r="G27" s="24">
        <f>IFERROR((D27-E27)/C27,"")</f>
        <v/>
      </c>
      <c r="H27" s="20">
        <f>IF(N(C27)=0,"",IF(D27/C27&gt;=0.9,"VENCEU","REPETE"))</f>
        <v/>
      </c>
    </row>
    <row r="28">
      <c r="A28" s="19" t="n"/>
      <c r="B28" s="19" t="n"/>
      <c r="C28" s="19" t="n"/>
      <c r="D28" s="19" t="n"/>
      <c r="E28" s="19" t="n"/>
      <c r="F28" s="24">
        <f>IFERROR(D28/C28,"")</f>
        <v/>
      </c>
      <c r="G28" s="24">
        <f>IFERROR((D28-E28)/C28,"")</f>
        <v/>
      </c>
      <c r="H28" s="20">
        <f>IF(N(C28)=0,"",IF(D28/C28&gt;=0.9,"VENCEU","REPETE"))</f>
        <v/>
      </c>
    </row>
    <row r="29">
      <c r="A29" s="19" t="n"/>
      <c r="B29" s="19" t="n"/>
      <c r="C29" s="19" t="n"/>
      <c r="D29" s="19" t="n"/>
      <c r="E29" s="19" t="n"/>
      <c r="F29" s="24">
        <f>IFERROR(D29/C29,"")</f>
        <v/>
      </c>
      <c r="G29" s="24">
        <f>IFERROR((D29-E29)/C29,"")</f>
        <v/>
      </c>
      <c r="H29" s="20">
        <f>IF(N(C29)=0,"",IF(D29/C29&gt;=0.9,"VENCEU","REPETE"))</f>
        <v/>
      </c>
    </row>
    <row r="30">
      <c r="A30" s="19" t="n"/>
      <c r="B30" s="19" t="n"/>
      <c r="C30" s="19" t="n"/>
      <c r="D30" s="19" t="n"/>
      <c r="E30" s="19" t="n"/>
      <c r="F30" s="24">
        <f>IFERROR(D30/C30,"")</f>
        <v/>
      </c>
      <c r="G30" s="24">
        <f>IFERROR((D30-E30)/C30,"")</f>
        <v/>
      </c>
      <c r="H30" s="20">
        <f>IF(N(C30)=0,"",IF(D30/C30&gt;=0.9,"VENCEU","REPETE"))</f>
        <v/>
      </c>
    </row>
    <row r="31">
      <c r="A31" s="19" t="n"/>
      <c r="B31" s="19" t="n"/>
      <c r="C31" s="19" t="n"/>
      <c r="D31" s="19" t="n"/>
      <c r="E31" s="19" t="n"/>
      <c r="F31" s="24">
        <f>IFERROR(D31/C31,"")</f>
        <v/>
      </c>
      <c r="G31" s="24">
        <f>IFERROR((D31-E31)/C31,"")</f>
        <v/>
      </c>
      <c r="H31" s="20">
        <f>IF(N(C31)=0,"",IF(D31/C31&gt;=0.9,"VENCEU","REPETE"))</f>
        <v/>
      </c>
    </row>
    <row r="32">
      <c r="A32" s="19" t="n"/>
      <c r="B32" s="19" t="n"/>
      <c r="C32" s="19" t="n"/>
      <c r="D32" s="19" t="n"/>
      <c r="E32" s="19" t="n"/>
      <c r="F32" s="24">
        <f>IFERROR(D32/C32,"")</f>
        <v/>
      </c>
      <c r="G32" s="24">
        <f>IFERROR((D32-E32)/C32,"")</f>
        <v/>
      </c>
      <c r="H32" s="20">
        <f>IF(N(C32)=0,"",IF(D32/C32&gt;=0.9,"VENCEU","REPETE"))</f>
        <v/>
      </c>
    </row>
    <row r="33">
      <c r="A33" s="19" t="n"/>
      <c r="B33" s="19" t="n"/>
      <c r="C33" s="19" t="n"/>
      <c r="D33" s="19" t="n"/>
      <c r="E33" s="19" t="n"/>
      <c r="F33" s="24">
        <f>IFERROR(D33/C33,"")</f>
        <v/>
      </c>
      <c r="G33" s="24">
        <f>IFERROR((D33-E33)/C33,"")</f>
        <v/>
      </c>
      <c r="H33" s="20">
        <f>IF(N(C33)=0,"",IF(D33/C33&gt;=0.9,"VENCEU","REPETE"))</f>
        <v/>
      </c>
    </row>
    <row r="34">
      <c r="A34" s="19" t="n"/>
      <c r="B34" s="19" t="n"/>
      <c r="C34" s="19" t="n"/>
      <c r="D34" s="19" t="n"/>
      <c r="E34" s="19" t="n"/>
      <c r="F34" s="24">
        <f>IFERROR(D34/C34,"")</f>
        <v/>
      </c>
      <c r="G34" s="24">
        <f>IFERROR((D34-E34)/C34,"")</f>
        <v/>
      </c>
      <c r="H34" s="20">
        <f>IF(N(C34)=0,"",IF(D34/C34&gt;=0.9,"VENCEU","REPETE"))</f>
        <v/>
      </c>
    </row>
    <row r="35">
      <c r="A35" s="19" t="n"/>
      <c r="B35" s="19" t="n"/>
      <c r="C35" s="19" t="n"/>
      <c r="D35" s="19" t="n"/>
      <c r="E35" s="19" t="n"/>
      <c r="F35" s="24">
        <f>IFERROR(D35/C35,"")</f>
        <v/>
      </c>
      <c r="G35" s="24">
        <f>IFERROR((D35-E35)/C35,"")</f>
        <v/>
      </c>
      <c r="H35" s="20">
        <f>IF(N(C35)=0,"",IF(D35/C35&gt;=0.9,"VENCEU","REPETE"))</f>
        <v/>
      </c>
    </row>
    <row r="36">
      <c r="A36" s="19" t="n"/>
      <c r="B36" s="19" t="n"/>
      <c r="C36" s="19" t="n"/>
      <c r="D36" s="19" t="n"/>
      <c r="E36" s="19" t="n"/>
      <c r="F36" s="24">
        <f>IFERROR(D36/C36,"")</f>
        <v/>
      </c>
      <c r="G36" s="24">
        <f>IFERROR((D36-E36)/C36,"")</f>
        <v/>
      </c>
      <c r="H36" s="20">
        <f>IF(N(C36)=0,"",IF(D36/C36&gt;=0.9,"VENCEU","REPETE"))</f>
        <v/>
      </c>
    </row>
    <row r="37">
      <c r="A37" s="19" t="n"/>
      <c r="B37" s="19" t="n"/>
      <c r="C37" s="19" t="n"/>
      <c r="D37" s="19" t="n"/>
      <c r="E37" s="19" t="n"/>
      <c r="F37" s="24">
        <f>IFERROR(D37/C37,"")</f>
        <v/>
      </c>
      <c r="G37" s="24">
        <f>IFERROR((D37-E37)/C37,"")</f>
        <v/>
      </c>
      <c r="H37" s="20">
        <f>IF(N(C37)=0,"",IF(D37/C37&gt;=0.9,"VENCEU","REPETE"))</f>
        <v/>
      </c>
    </row>
    <row r="38">
      <c r="A38" s="19" t="n"/>
      <c r="B38" s="19" t="n"/>
      <c r="C38" s="19" t="n"/>
      <c r="D38" s="19" t="n"/>
      <c r="E38" s="19" t="n"/>
      <c r="F38" s="24">
        <f>IFERROR(D38/C38,"")</f>
        <v/>
      </c>
      <c r="G38" s="24">
        <f>IFERROR((D38-E38)/C38,"")</f>
        <v/>
      </c>
      <c r="H38" s="20">
        <f>IF(N(C38)=0,"",IF(D38/C38&gt;=0.9,"VENCEU","REPETE"))</f>
        <v/>
      </c>
    </row>
    <row r="39">
      <c r="A39" s="19" t="n"/>
      <c r="B39" s="19" t="n"/>
      <c r="C39" s="19" t="n"/>
      <c r="D39" s="19" t="n"/>
      <c r="E39" s="19" t="n"/>
      <c r="F39" s="24">
        <f>IFERROR(D39/C39,"")</f>
        <v/>
      </c>
      <c r="G39" s="24">
        <f>IFERROR((D39-E39)/C39,"")</f>
        <v/>
      </c>
      <c r="H39" s="20">
        <f>IF(N(C39)=0,"",IF(D39/C39&gt;=0.9,"VENCEU","REPETE"))</f>
        <v/>
      </c>
    </row>
    <row r="40">
      <c r="A40" s="19" t="n"/>
      <c r="B40" s="19" t="n"/>
      <c r="C40" s="19" t="n"/>
      <c r="D40" s="19" t="n"/>
      <c r="E40" s="19" t="n"/>
      <c r="F40" s="24">
        <f>IFERROR(D40/C40,"")</f>
        <v/>
      </c>
      <c r="G40" s="24">
        <f>IFERROR((D40-E40)/C40,"")</f>
        <v/>
      </c>
      <c r="H40" s="20">
        <f>IF(N(C40)=0,"",IF(D40/C40&gt;=0.9,"VENCEU","REPETE"))</f>
        <v/>
      </c>
    </row>
    <row r="41">
      <c r="A41" s="19" t="n"/>
      <c r="B41" s="19" t="n"/>
      <c r="C41" s="19" t="n"/>
      <c r="D41" s="19" t="n"/>
      <c r="E41" s="19" t="n"/>
      <c r="F41" s="24">
        <f>IFERROR(D41/C41,"")</f>
        <v/>
      </c>
      <c r="G41" s="24">
        <f>IFERROR((D41-E41)/C41,"")</f>
        <v/>
      </c>
      <c r="H41" s="20">
        <f>IF(N(C41)=0,"",IF(D41/C41&gt;=0.9,"VENCEU","REPETE"))</f>
        <v/>
      </c>
    </row>
    <row r="42">
      <c r="A42" s="19" t="n"/>
      <c r="B42" s="19" t="n"/>
      <c r="C42" s="19" t="n"/>
      <c r="D42" s="19" t="n"/>
      <c r="E42" s="19" t="n"/>
      <c r="F42" s="24">
        <f>IFERROR(D42/C42,"")</f>
        <v/>
      </c>
      <c r="G42" s="24">
        <f>IFERROR((D42-E42)/C42,"")</f>
        <v/>
      </c>
      <c r="H42" s="20">
        <f>IF(N(C42)=0,"",IF(D42/C42&gt;=0.9,"VENCEU","REPETE"))</f>
        <v/>
      </c>
    </row>
  </sheetData>
  <mergeCells count="2">
    <mergeCell ref="A1:D1"/>
    <mergeCell ref="A2:M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70" customWidth="1" min="3" max="3"/>
    <col width="16" customWidth="1" min="4" max="4"/>
  </cols>
  <sheetData>
    <row r="1">
      <c r="A1" s="12" t="inlineStr">
        <is>
          <t>Aulas do curso do Gran e o que cada uma cobre do edital</t>
        </is>
      </c>
    </row>
    <row r="2">
      <c r="A2" s="2" t="inlineStr">
        <is>
          <t>Extraído do rótulo de cada aula. O curso fatia e reordena o programa, então a numeração das aulas não segue a do edital.</t>
        </is>
      </c>
    </row>
    <row r="4">
      <c r="A4" s="3" t="inlineStr">
        <is>
          <t>Matéria</t>
        </is>
      </c>
      <c r="B4" s="3" t="inlineStr">
        <is>
          <t>Aula</t>
        </is>
      </c>
      <c r="C4" s="3" t="inlineStr">
        <is>
          <t>O que a aula cobre</t>
        </is>
      </c>
      <c r="D4" s="3" t="inlineStr">
        <is>
          <t>Tópicos do edital</t>
        </is>
      </c>
    </row>
    <row r="5">
      <c r="A5" s="26" t="inlineStr">
        <is>
          <t>Administração Financeira e Orçamentária</t>
        </is>
      </c>
      <c r="B5" s="27" t="n">
        <v>1</v>
      </c>
      <c r="C5" s="26" t="inlineStr">
        <is>
          <t>1 Orcamento publico. 1.1 Conceito. 1.2 Tecnicas orcamentarias</t>
        </is>
      </c>
      <c r="D5" s="26" t="inlineStr">
        <is>
          <t>1</t>
        </is>
      </c>
    </row>
    <row r="6">
      <c r="A6" s="26" t="inlineStr">
        <is>
          <t>Administração Financeira e Orçamentária</t>
        </is>
      </c>
      <c r="B6" s="27" t="n">
        <v>2</v>
      </c>
      <c r="C6" s="26" t="inlineStr">
        <is>
          <t>2.2 PPA. 2.3 LDO. 2.4 LOA</t>
        </is>
      </c>
      <c r="D6" s="26" t="inlineStr">
        <is>
          <t>2</t>
        </is>
      </c>
    </row>
    <row r="7">
      <c r="A7" s="26" t="inlineStr">
        <is>
          <t>Administração Financeira e Orçamentária</t>
        </is>
      </c>
      <c r="B7" s="27" t="n">
        <v>3</v>
      </c>
      <c r="C7" s="26" t="inlineStr">
        <is>
          <t>1.4 Ciclo orcamentario. 1.5 Processo orcamentario</t>
        </is>
      </c>
      <c r="D7" s="26" t="inlineStr">
        <is>
          <t>1</t>
        </is>
      </c>
    </row>
    <row r="8">
      <c r="A8" s="26" t="inlineStr">
        <is>
          <t>Administração Financeira e Orçamentária</t>
        </is>
      </c>
      <c r="B8" s="27" t="n">
        <v>4</v>
      </c>
      <c r="C8" s="26" t="inlineStr">
        <is>
          <t>2.1 Sistema de planejamento e orcamento federal. 2.5 Processo de orcamentacao</t>
        </is>
      </c>
      <c r="D8" s="26" t="inlineStr">
        <is>
          <t>2</t>
        </is>
      </c>
    </row>
    <row r="9">
      <c r="A9" s="26" t="inlineStr">
        <is>
          <t>Administração Financeira e Orçamentária</t>
        </is>
      </c>
      <c r="B9" s="27" t="n">
        <v>5</v>
      </c>
      <c r="C9" s="26" t="inlineStr">
        <is>
          <t>2.8 Creditos ordinarios e adicionais</t>
        </is>
      </c>
      <c r="D9" s="26" t="inlineStr">
        <is>
          <t>2</t>
        </is>
      </c>
    </row>
    <row r="10">
      <c r="A10" s="26" t="inlineStr">
        <is>
          <t>Administração Financeira e Orçamentária</t>
        </is>
      </c>
      <c r="B10" s="27" t="n">
        <v>6</v>
      </c>
      <c r="C10" s="26" t="inlineStr">
        <is>
          <t>1.3 Principios orcamentarios</t>
        </is>
      </c>
      <c r="D10" s="26" t="inlineStr">
        <is>
          <t>1</t>
        </is>
      </c>
    </row>
    <row r="11">
      <c r="A11" s="26" t="inlineStr">
        <is>
          <t>Administração Financeira e Orçamentária</t>
        </is>
      </c>
      <c r="B11" s="27" t="n">
        <v>7</v>
      </c>
      <c r="C11" s="26" t="inlineStr">
        <is>
          <t>4 Receita publica, estagios, fontes e divida ativa</t>
        </is>
      </c>
      <c r="D11" s="26" t="inlineStr">
        <is>
          <t>4</t>
        </is>
      </c>
    </row>
    <row r="12">
      <c r="A12" s="26" t="inlineStr">
        <is>
          <t>Administração Financeira e Orçamentária</t>
        </is>
      </c>
      <c r="B12" s="27" t="n">
        <v>8</v>
      </c>
      <c r="C12" s="26" t="inlineStr">
        <is>
          <t>5 Despesa publica. 2.6 Classificacoes. 2.7 Estrutura programatica. 7 Lei 4.320/1964</t>
        </is>
      </c>
      <c r="D12" s="26" t="inlineStr">
        <is>
          <t>5, 2, 7</t>
        </is>
      </c>
    </row>
    <row r="13">
      <c r="A13" s="26" t="inlineStr">
        <is>
          <t>Administração Financeira e Orçamentária</t>
        </is>
      </c>
      <c r="B13" s="27" t="n">
        <v>9</v>
      </c>
      <c r="C13" s="26" t="inlineStr">
        <is>
          <t>3 Programacao e execucao orcamentaria e financeira</t>
        </is>
      </c>
      <c r="D13" s="26" t="inlineStr">
        <is>
          <t>3</t>
        </is>
      </c>
    </row>
    <row r="14">
      <c r="A14" s="26" t="inlineStr">
        <is>
          <t>Administração Financeira e Orçamentária</t>
        </is>
      </c>
      <c r="B14" s="27" t="n">
        <v>10</v>
      </c>
      <c r="C14" s="26" t="inlineStr">
        <is>
          <t>6 LRF. 5.5 Divida flutuante e fundada. 8 Transferencias voluntarias</t>
        </is>
      </c>
      <c r="D14" s="26" t="inlineStr">
        <is>
          <t>6, 5, 8</t>
        </is>
      </c>
    </row>
    <row r="15">
      <c r="A15" s="26" t="inlineStr">
        <is>
          <t>Administração Financeira e Orçamentária</t>
        </is>
      </c>
      <c r="B15" s="27" t="n">
        <v>11</v>
      </c>
      <c r="C15" s="26" t="inlineStr">
        <is>
          <t>9 Decreto distrital 32.598/2010</t>
        </is>
      </c>
      <c r="D15" s="26" t="inlineStr">
        <is>
          <t>9</t>
        </is>
      </c>
    </row>
    <row r="16">
      <c r="A16" s="26" t="inlineStr">
        <is>
          <t>Noções de Direito Tributário</t>
        </is>
      </c>
      <c r="B16" s="27" t="n">
        <v>1</v>
      </c>
      <c r="C16" s="26" t="inlineStr">
        <is>
          <t>Apresentacao da disciplina</t>
        </is>
      </c>
      <c r="D16" s="26" t="inlineStr">
        <is>
          <t>—</t>
        </is>
      </c>
    </row>
    <row r="17">
      <c r="A17" s="26" t="inlineStr">
        <is>
          <t>Noções de Direito Tributário</t>
        </is>
      </c>
      <c r="B17" s="27" t="n">
        <v>2</v>
      </c>
      <c r="C17" s="26" t="inlineStr">
        <is>
          <t>1 Direito tributario. 1.1 Conceito. 2 STN. 2.1 Principios</t>
        </is>
      </c>
      <c r="D17" s="26" t="inlineStr">
        <is>
          <t>1, 2</t>
        </is>
      </c>
    </row>
    <row r="18">
      <c r="A18" s="26" t="inlineStr">
        <is>
          <t>Noções de Direito Tributário</t>
        </is>
      </c>
      <c r="B18" s="27" t="n">
        <v>3</v>
      </c>
      <c r="C18" s="26" t="inlineStr">
        <is>
          <t>1.2 Fontes do direito tributario</t>
        </is>
      </c>
      <c r="D18" s="26" t="inlineStr">
        <is>
          <t>1</t>
        </is>
      </c>
    </row>
    <row r="19">
      <c r="A19" s="26" t="inlineStr">
        <is>
          <t>Noções de Direito Tributário</t>
        </is>
      </c>
      <c r="B19" s="27" t="n">
        <v>4</v>
      </c>
      <c r="C19" s="26" t="inlineStr">
        <is>
          <t>2.2 Limitacoes constitucionais ao poder de tributar</t>
        </is>
      </c>
      <c r="D19" s="26" t="inlineStr">
        <is>
          <t>2</t>
        </is>
      </c>
    </row>
    <row r="20">
      <c r="A20" s="26" t="inlineStr">
        <is>
          <t>Noções de Direito Tributário</t>
        </is>
      </c>
      <c r="B20" s="27" t="n">
        <v>5</v>
      </c>
      <c r="C20" s="26" t="inlineStr">
        <is>
          <t>2.3 Reparticao das receitas tributarias</t>
        </is>
      </c>
      <c r="D20" s="26" t="inlineStr">
        <is>
          <t>2</t>
        </is>
      </c>
    </row>
    <row r="21">
      <c r="A21" s="26" t="inlineStr">
        <is>
          <t>Noções de Direito Tributário</t>
        </is>
      </c>
      <c r="B21" s="27" t="n">
        <v>6</v>
      </c>
      <c r="C21" s="26" t="inlineStr">
        <is>
          <t>3 Tributo — conceito, natureza e especies (3.1 a 3.8)</t>
        </is>
      </c>
      <c r="D21" s="26" t="inlineStr">
        <is>
          <t>3</t>
        </is>
      </c>
    </row>
    <row r="22">
      <c r="A22" s="26" t="inlineStr">
        <is>
          <t>Noções de Direito Tributário</t>
        </is>
      </c>
      <c r="B22" s="27" t="n">
        <v>7</v>
      </c>
      <c r="C22" s="26" t="inlineStr">
        <is>
          <t>Reforma Tributaria — EC 132/2023 (extra do curso)</t>
        </is>
      </c>
      <c r="D22" s="26" t="inlineStr">
        <is>
          <t>2, 3</t>
        </is>
      </c>
    </row>
    <row r="23">
      <c r="A23" s="26" t="inlineStr">
        <is>
          <t>Direito Administrativo</t>
        </is>
      </c>
      <c r="B23" s="27" t="n">
        <v>1</v>
      </c>
      <c r="C23" s="26" t="inlineStr">
        <is>
          <t>Apresentacao da disciplina</t>
        </is>
      </c>
      <c r="D23" s="26" t="inlineStr">
        <is>
          <t>—</t>
        </is>
      </c>
    </row>
    <row r="24">
      <c r="A24" s="26" t="inlineStr">
        <is>
          <t>Direito Administrativo</t>
        </is>
      </c>
      <c r="B24" s="27" t="n">
        <v>2</v>
      </c>
      <c r="C24" s="26" t="inlineStr">
        <is>
          <t>1 Estado e administracao. 2 Direito administrativo. 6 Regime juridico-administrativo</t>
        </is>
      </c>
      <c r="D24" s="26" t="inlineStr">
        <is>
          <t>1, 2, 6</t>
        </is>
      </c>
    </row>
    <row r="25">
      <c r="A25" s="26" t="inlineStr">
        <is>
          <t>Direito Administrativo</t>
        </is>
      </c>
      <c r="B25" s="27" t="n">
        <v>3</v>
      </c>
      <c r="C25" s="26" t="inlineStr">
        <is>
          <t>9 Organizacao administrativa e terceiro setor</t>
        </is>
      </c>
      <c r="D25" s="26" t="inlineStr">
        <is>
          <t>9</t>
        </is>
      </c>
    </row>
    <row r="26">
      <c r="A26" s="26" t="inlineStr">
        <is>
          <t>Direito Administrativo</t>
        </is>
      </c>
      <c r="B26" s="27" t="n">
        <v>4</v>
      </c>
      <c r="C26" s="26" t="inlineStr">
        <is>
          <t>5 Poderes da administracao publica</t>
        </is>
      </c>
      <c r="D26" s="26" t="inlineStr">
        <is>
          <t>5</t>
        </is>
      </c>
    </row>
    <row r="27">
      <c r="A27" s="26" t="inlineStr">
        <is>
          <t>Direito Administrativo</t>
        </is>
      </c>
      <c r="B27" s="27" t="n">
        <v>5</v>
      </c>
      <c r="C27" s="26" t="inlineStr">
        <is>
          <t>3 Ato administrativo</t>
        </is>
      </c>
      <c r="D27" s="26" t="inlineStr">
        <is>
          <t>3</t>
        </is>
      </c>
    </row>
    <row r="28">
      <c r="A28" s="26" t="inlineStr">
        <is>
          <t>Direito Administrativo</t>
        </is>
      </c>
      <c r="B28" s="27" t="n">
        <v>6</v>
      </c>
      <c r="C28" s="26" t="inlineStr">
        <is>
          <t>4 Agentes publicos, cargo, provimento e PAD</t>
        </is>
      </c>
      <c r="D28" s="26" t="inlineStr">
        <is>
          <t>4</t>
        </is>
      </c>
    </row>
    <row r="29">
      <c r="A29" s="26" t="inlineStr">
        <is>
          <t>Direito Administrativo</t>
        </is>
      </c>
      <c r="B29" s="27" t="n">
        <v>7</v>
      </c>
      <c r="C29" s="26" t="inlineStr">
        <is>
          <t>7 Responsabilidade civil do Estado</t>
        </is>
      </c>
      <c r="D29" s="26" t="inlineStr">
        <is>
          <t>7</t>
        </is>
      </c>
    </row>
    <row r="30">
      <c r="A30" s="26" t="inlineStr">
        <is>
          <t>Direito Administrativo</t>
        </is>
      </c>
      <c r="B30" s="27" t="n">
        <v>8</v>
      </c>
      <c r="C30" s="26" t="inlineStr">
        <is>
          <t>8 Servicos publicos</t>
        </is>
      </c>
      <c r="D30" s="26" t="inlineStr">
        <is>
          <t>8</t>
        </is>
      </c>
    </row>
    <row r="31">
      <c r="A31" s="26" t="inlineStr">
        <is>
          <t>Direito Administrativo</t>
        </is>
      </c>
      <c r="B31" s="27" t="n">
        <v>9</v>
      </c>
      <c r="C31" s="26" t="inlineStr">
        <is>
          <t>10 Controle da administracao publica (10.1 a 10.3)</t>
        </is>
      </c>
      <c r="D31" s="26" t="inlineStr">
        <is>
          <t>10</t>
        </is>
      </c>
    </row>
    <row r="32">
      <c r="A32" s="26" t="inlineStr">
        <is>
          <t>Direito Administrativo</t>
        </is>
      </c>
      <c r="B32" s="27" t="n">
        <v>10</v>
      </c>
      <c r="C32" s="26" t="inlineStr">
        <is>
          <t>10.4 Improbidade administrativa — Lei 8.429/1992</t>
        </is>
      </c>
      <c r="D32" s="26" t="inlineStr">
        <is>
          <t>10</t>
        </is>
      </c>
    </row>
    <row r="33">
      <c r="A33" s="26" t="inlineStr">
        <is>
          <t>Direito Administrativo</t>
        </is>
      </c>
      <c r="B33" s="27" t="n">
        <v>11</v>
      </c>
      <c r="C33" s="26" t="inlineStr">
        <is>
          <t>11 Lei 9.784/1999 c/c Lei distrital 2.834/2001</t>
        </is>
      </c>
      <c r="D33" s="26" t="inlineStr">
        <is>
          <t>11</t>
        </is>
      </c>
    </row>
    <row r="34">
      <c r="A34" s="26" t="inlineStr">
        <is>
          <t>Direito Administrativo</t>
        </is>
      </c>
      <c r="B34" s="27" t="n">
        <v>12</v>
      </c>
      <c r="C34" s="26" t="inlineStr">
        <is>
          <t>12 Licitacoes e contratos. 12.1 Lei 14.133/2021</t>
        </is>
      </c>
      <c r="D34" s="26" t="inlineStr">
        <is>
          <t>12</t>
        </is>
      </c>
    </row>
    <row r="35">
      <c r="A35" s="26" t="inlineStr">
        <is>
          <t>Direito Administrativo</t>
        </is>
      </c>
      <c r="B35" s="27" t="n">
        <v>13</v>
      </c>
      <c r="C35" s="26" t="inlineStr">
        <is>
          <t>12.3 Decreto distrital 44.330/2023</t>
        </is>
      </c>
      <c r="D35" s="26" t="inlineStr">
        <is>
          <t>12</t>
        </is>
      </c>
    </row>
    <row r="36">
      <c r="A36" s="26" t="inlineStr">
        <is>
          <t>Direito Administrativo</t>
        </is>
      </c>
      <c r="B36" s="27" t="n">
        <v>14</v>
      </c>
      <c r="C36" s="26" t="inlineStr">
        <is>
          <t>13 Lei 12.527/2011 — LAI</t>
        </is>
      </c>
      <c r="D36" s="26" t="inlineStr">
        <is>
          <t>13</t>
        </is>
      </c>
    </row>
    <row r="37">
      <c r="A37" s="26" t="inlineStr">
        <is>
          <t>Direito Administrativo</t>
        </is>
      </c>
      <c r="B37" s="27" t="n">
        <v>15</v>
      </c>
      <c r="C37" s="26" t="inlineStr">
        <is>
          <t>14 Lei 13.709/2018 — LGPD</t>
        </is>
      </c>
      <c r="D37" s="26" t="inlineStr">
        <is>
          <t>14</t>
        </is>
      </c>
    </row>
    <row r="38">
      <c r="A38" s="26" t="inlineStr">
        <is>
          <t>Gestão de Contratos</t>
        </is>
      </c>
      <c r="B38" s="27" t="n">
        <v>1</v>
      </c>
      <c r="C38" s="26" t="inlineStr">
        <is>
          <t>Apresentacao da disciplina</t>
        </is>
      </c>
      <c r="D38" s="26" t="inlineStr">
        <is>
          <t>—</t>
        </is>
      </c>
    </row>
    <row r="39">
      <c r="A39" s="26" t="inlineStr">
        <is>
          <t>Gestão de Contratos</t>
        </is>
      </c>
      <c r="B39" s="27" t="n">
        <v>2</v>
      </c>
      <c r="C39" s="26" t="inlineStr">
        <is>
          <t>1.1 Lei 14.133/2021. 1.3 Decreto distrital 44.330/2023</t>
        </is>
      </c>
      <c r="D39" s="26" t="inlineStr">
        <is>
          <t>1</t>
        </is>
      </c>
    </row>
    <row r="40">
      <c r="A40" s="26" t="inlineStr">
        <is>
          <t>Gestão de Contratos</t>
        </is>
      </c>
      <c r="B40" s="27" t="n">
        <v>3</v>
      </c>
      <c r="C40" s="26" t="inlineStr">
        <is>
          <t>1.2 Instrucao Normativa SEGES/MP 5/2017</t>
        </is>
      </c>
      <c r="D40" s="26" t="inlineStr">
        <is>
          <t>1</t>
        </is>
      </c>
    </row>
    <row r="41">
      <c r="A41" s="26" t="inlineStr">
        <is>
          <t>Gestão de Contratos</t>
        </is>
      </c>
      <c r="B41" s="27" t="n">
        <v>4</v>
      </c>
      <c r="C41" s="26" t="inlineStr">
        <is>
          <t>2 Elaboracao e fiscalizacao de contratos (2.1 a 2.7)</t>
        </is>
      </c>
      <c r="D41" s="26" t="inlineStr">
        <is>
          <t>2</t>
        </is>
      </c>
    </row>
    <row r="42">
      <c r="A42" s="26" t="inlineStr">
        <is>
          <t>Direito Constitucional</t>
        </is>
      </c>
      <c r="B42" s="27" t="n">
        <v>1</v>
      </c>
      <c r="C42" s="26" t="inlineStr">
        <is>
          <t>Apresentacao da disciplina</t>
        </is>
      </c>
      <c r="D42" s="26" t="inlineStr">
        <is>
          <t>—</t>
        </is>
      </c>
    </row>
    <row r="43">
      <c r="A43" s="26" t="inlineStr">
        <is>
          <t>Direito Constitucional</t>
        </is>
      </c>
      <c r="B43" s="27" t="n">
        <v>2</v>
      </c>
      <c r="C43" s="26" t="inlineStr">
        <is>
          <t>1 CF/1988. 1.1 Principios fundamentais</t>
        </is>
      </c>
      <c r="D43" s="26" t="inlineStr">
        <is>
          <t>1</t>
        </is>
      </c>
    </row>
    <row r="44">
      <c r="A44" s="26" t="inlineStr">
        <is>
          <t>Direito Constitucional</t>
        </is>
      </c>
      <c r="B44" s="27" t="n">
        <v>3</v>
      </c>
      <c r="C44" s="26" t="inlineStr">
        <is>
          <t>3 Direitos e garantias fundamentais</t>
        </is>
      </c>
      <c r="D44" s="26" t="inlineStr">
        <is>
          <t>3</t>
        </is>
      </c>
    </row>
    <row r="45">
      <c r="A45" s="26" t="inlineStr">
        <is>
          <t>Direito Constitucional</t>
        </is>
      </c>
      <c r="B45" s="27" t="n">
        <v>4</v>
      </c>
      <c r="C45" s="26" t="inlineStr">
        <is>
          <t>2 Aplicabilidade das normas constitucionais</t>
        </is>
      </c>
      <c r="D45" s="26" t="inlineStr">
        <is>
          <t>2</t>
        </is>
      </c>
    </row>
    <row r="46">
      <c r="A46" s="26" t="inlineStr">
        <is>
          <t>Direito Constitucional</t>
        </is>
      </c>
      <c r="B46" s="27" t="n">
        <v>5</v>
      </c>
      <c r="C46" s="26" t="inlineStr">
        <is>
          <t>4 Organizacao politico-administrativa do Estado</t>
        </is>
      </c>
      <c r="D46" s="26" t="inlineStr">
        <is>
          <t>4</t>
        </is>
      </c>
    </row>
    <row r="47">
      <c r="A47" s="26" t="inlineStr">
        <is>
          <t>Direito Constitucional</t>
        </is>
      </c>
      <c r="B47" s="27" t="n">
        <v>6</v>
      </c>
      <c r="C47" s="26" t="inlineStr">
        <is>
          <t>5 Administracao publica. 5.2 Servidores publicos</t>
        </is>
      </c>
      <c r="D47" s="26" t="inlineStr">
        <is>
          <t>5</t>
        </is>
      </c>
    </row>
    <row r="48">
      <c r="A48" s="26" t="inlineStr">
        <is>
          <t>Direito Constitucional</t>
        </is>
      </c>
      <c r="B48" s="27" t="n">
        <v>7</v>
      </c>
      <c r="C48" s="26" t="inlineStr">
        <is>
          <t>6 Poder Executivo</t>
        </is>
      </c>
      <c r="D48" s="26" t="inlineStr">
        <is>
          <t>6</t>
        </is>
      </c>
    </row>
    <row r="49">
      <c r="A49" s="26" t="inlineStr">
        <is>
          <t>Direito Constitucional</t>
        </is>
      </c>
      <c r="B49" s="27" t="n">
        <v>8</v>
      </c>
      <c r="C49" s="26" t="inlineStr">
        <is>
          <t>7 Poder Legislativo. 7.4 Fiscalizacao contabil, financeira e orcamentaria</t>
        </is>
      </c>
      <c r="D49" s="26" t="inlineStr">
        <is>
          <t>7</t>
        </is>
      </c>
    </row>
    <row r="50">
      <c r="A50" s="26" t="inlineStr">
        <is>
          <t>Direito Constitucional</t>
        </is>
      </c>
      <c r="B50" s="27" t="n">
        <v>9</v>
      </c>
      <c r="C50" s="26" t="inlineStr">
        <is>
          <t>8 Poder Judiciario</t>
        </is>
      </c>
      <c r="D50" s="26" t="inlineStr">
        <is>
          <t>8</t>
        </is>
      </c>
    </row>
    <row r="51">
      <c r="A51" s="26" t="inlineStr">
        <is>
          <t>Direito Constitucional</t>
        </is>
      </c>
      <c r="B51" s="27" t="n">
        <v>10</v>
      </c>
      <c r="C51" s="26" t="inlineStr">
        <is>
          <t>9 Funcoes essenciais a justica</t>
        </is>
      </c>
      <c r="D51" s="26" t="inlineStr">
        <is>
          <t>9</t>
        </is>
      </c>
    </row>
    <row r="52">
      <c r="A52" s="26" t="inlineStr">
        <is>
          <t>Lei Orgânica do TCDF e Regimento Interno</t>
        </is>
      </c>
      <c r="B52" s="27" t="n">
        <v>1</v>
      </c>
      <c r="C52" s="26" t="inlineStr">
        <is>
          <t>Apresentacao da disciplina</t>
        </is>
      </c>
      <c r="D52" s="26" t="inlineStr">
        <is>
          <t>—</t>
        </is>
      </c>
    </row>
    <row r="53">
      <c r="A53" s="26" t="inlineStr">
        <is>
          <t>Lei Orgânica do TCDF e Regimento Interno</t>
        </is>
      </c>
      <c r="B53" s="27" t="n">
        <v>2</v>
      </c>
      <c r="C53" s="26" t="inlineStr">
        <is>
          <t>1 Lei Organica do TCDF (1.1 a 1.5)</t>
        </is>
      </c>
      <c r="D53" s="26" t="inlineStr">
        <is>
          <t>1</t>
        </is>
      </c>
    </row>
    <row r="54">
      <c r="A54" s="26" t="inlineStr">
        <is>
          <t>Lei Orgânica do TCDF e Regimento Interno</t>
        </is>
      </c>
      <c r="B54" s="27" t="n">
        <v>3</v>
      </c>
      <c r="C54" s="26" t="inlineStr">
        <is>
          <t>2 Regimento Interno — Resolucao 296/2016, arts. 1o a 116</t>
        </is>
      </c>
      <c r="D54" s="26" t="inlineStr">
        <is>
          <t>2</t>
        </is>
      </c>
    </row>
    <row r="55">
      <c r="A55" s="26" t="inlineStr">
        <is>
          <t>Lei Orgânica do Distrito Federal</t>
        </is>
      </c>
      <c r="B55" s="27" t="n">
        <v>1</v>
      </c>
      <c r="C55" s="26" t="inlineStr">
        <is>
          <t>Apresentacao da disciplina</t>
        </is>
      </c>
      <c r="D55" s="26" t="inlineStr">
        <is>
          <t>—</t>
        </is>
      </c>
    </row>
    <row r="56">
      <c r="A56" s="26" t="inlineStr">
        <is>
          <t>Lei Orgânica do Distrito Federal</t>
        </is>
      </c>
      <c r="B56" s="27" t="n">
        <v>2</v>
      </c>
      <c r="C56" s="26" t="inlineStr">
        <is>
          <t>1 a 5 — LODF inteira em uma aula</t>
        </is>
      </c>
      <c r="D56" s="26" t="inlineStr">
        <is>
          <t>1, 2, 3, 4, 5</t>
        </is>
      </c>
    </row>
    <row r="57">
      <c r="A57" s="26" t="inlineStr">
        <is>
          <t>Administração Geral e Pública</t>
        </is>
      </c>
      <c r="B57" s="27" t="n">
        <v>1</v>
      </c>
      <c r="C57" s="26" t="inlineStr">
        <is>
          <t>Apresentacao da disciplina</t>
        </is>
      </c>
      <c r="D57" s="26" t="inlineStr">
        <is>
          <t>—</t>
        </is>
      </c>
    </row>
    <row r="58">
      <c r="A58" s="26" t="inlineStr">
        <is>
          <t>Administração Geral e Pública</t>
        </is>
      </c>
      <c r="B58" s="27" t="n">
        <v>2</v>
      </c>
      <c r="C58" s="26" t="inlineStr">
        <is>
          <t>5 Funcoes administrativas. 1 Evolucao da administracao</t>
        </is>
      </c>
      <c r="D58" s="26" t="inlineStr">
        <is>
          <t>5, 1</t>
        </is>
      </c>
    </row>
    <row r="59">
      <c r="A59" s="26" t="inlineStr">
        <is>
          <t>Administração Geral e Pública</t>
        </is>
      </c>
      <c r="B59" s="27" t="n">
        <v>3</v>
      </c>
      <c r="C59" s="26" t="inlineStr">
        <is>
          <t>6 Ferramentas da administracao. 7 Modelagem de processos (BPMN, EPC, IDEF0)</t>
        </is>
      </c>
      <c r="D59" s="26" t="inlineStr">
        <is>
          <t>6, 7</t>
        </is>
      </c>
    </row>
    <row r="60">
      <c r="A60" s="26" t="inlineStr">
        <is>
          <t>Administração Geral e Pública</t>
        </is>
      </c>
      <c r="B60" s="27" t="n">
        <v>4</v>
      </c>
      <c r="C60" s="26" t="inlineStr">
        <is>
          <t>8 Gestao de pessoas por competencias (CHA, APPO, lideranca, motivacao)</t>
        </is>
      </c>
      <c r="D60" s="26" t="inlineStr">
        <is>
          <t>8</t>
        </is>
      </c>
    </row>
    <row r="61">
      <c r="A61" s="26" t="inlineStr">
        <is>
          <t>Administração Geral e Pública</t>
        </is>
      </c>
      <c r="B61" s="27" t="n">
        <v>5</v>
      </c>
      <c r="C61" s="26" t="inlineStr">
        <is>
          <t>2 Evolucao do setor publico brasileiro. 3 Patrimonialista, burocratica e gerencial</t>
        </is>
      </c>
      <c r="D61" s="26" t="inlineStr">
        <is>
          <t>2, 3</t>
        </is>
      </c>
    </row>
    <row r="62">
      <c r="A62" s="26" t="inlineStr">
        <is>
          <t>Administração Geral e Pública</t>
        </is>
      </c>
      <c r="B62" s="27" t="n">
        <v>6</v>
      </c>
      <c r="C62" s="26" t="inlineStr">
        <is>
          <t>4 Governanca publica — principios, praticas e mecanismos</t>
        </is>
      </c>
      <c r="D62" s="26" t="inlineStr">
        <is>
          <t>4</t>
        </is>
      </c>
    </row>
    <row r="63">
      <c r="A63" s="26" t="inlineStr">
        <is>
          <t>Administração Geral e Pública</t>
        </is>
      </c>
      <c r="B63" s="27" t="n">
        <v>7</v>
      </c>
      <c r="C63" s="26" t="inlineStr">
        <is>
          <t>9 Gestao de projetos e portfolios. 9.1 PMBOK. 9.2 Cronogramas</t>
        </is>
      </c>
      <c r="D63" s="26" t="inlineStr">
        <is>
          <t>9</t>
        </is>
      </c>
    </row>
    <row r="64">
      <c r="A64" s="26" t="inlineStr">
        <is>
          <t>Administração Geral e Pública</t>
        </is>
      </c>
      <c r="B64" s="27" t="n">
        <v>8</v>
      </c>
      <c r="C64" s="26" t="inlineStr">
        <is>
          <t>9.1 Prince</t>
        </is>
      </c>
      <c r="D64" s="26" t="inlineStr">
        <is>
          <t>9</t>
        </is>
      </c>
    </row>
    <row r="65">
      <c r="A65" s="26" t="inlineStr">
        <is>
          <t>Administração Geral e Pública</t>
        </is>
      </c>
      <c r="B65" s="27" t="n">
        <v>9</v>
      </c>
      <c r="C65" s="26" t="inlineStr">
        <is>
          <t>9.1 Scrum e metodos ageis. 9.3 Kanban</t>
        </is>
      </c>
      <c r="D65" s="26" t="inlineStr">
        <is>
          <t>9</t>
        </is>
      </c>
    </row>
    <row r="66">
      <c r="A66" s="26" t="inlineStr">
        <is>
          <t>Análise de Dados, Noções de Estatística e Inteligência Artificial</t>
        </is>
      </c>
      <c r="B66" s="27" t="n">
        <v>1</v>
      </c>
      <c r="C66" s="26" t="inlineStr">
        <is>
          <t>Apresentacao da disciplina</t>
        </is>
      </c>
      <c r="D66" s="26" t="inlineStr">
        <is>
          <t>—</t>
        </is>
      </c>
    </row>
    <row r="67">
      <c r="A67" s="26" t="inlineStr">
        <is>
          <t>Análise de Dados, Noções de Estatística e Inteligência Artificial</t>
        </is>
      </c>
      <c r="B67" s="27" t="n">
        <v>2</v>
      </c>
      <c r="C67" s="26" t="inlineStr">
        <is>
          <t>1 Fundamentos de analise de dados</t>
        </is>
      </c>
      <c r="D67" s="26" t="inlineStr">
        <is>
          <t>1</t>
        </is>
      </c>
    </row>
    <row r="68">
      <c r="A68" s="26" t="inlineStr">
        <is>
          <t>Análise de Dados, Noções de Estatística e Inteligência Artificial</t>
        </is>
      </c>
      <c r="B68" s="27" t="n">
        <v>3</v>
      </c>
      <c r="C68" s="26" t="inlineStr">
        <is>
          <t>2 Estatistica descritiva e analise exploratoria</t>
        </is>
      </c>
      <c r="D68" s="26" t="inlineStr">
        <is>
          <t>2</t>
        </is>
      </c>
    </row>
    <row r="69">
      <c r="A69" s="26" t="inlineStr">
        <is>
          <t>Análise de Dados, Noções de Estatística e Inteligência Artificial</t>
        </is>
      </c>
      <c r="B69" s="27" t="n">
        <v>4</v>
      </c>
      <c r="C69" s="26" t="inlineStr">
        <is>
          <t>3 Visualizacao de dados. 3.1 Tipos de graficos. 3.2 Boas praticas</t>
        </is>
      </c>
      <c r="D69" s="26" t="inlineStr">
        <is>
          <t>3</t>
        </is>
      </c>
    </row>
    <row r="70">
      <c r="A70" s="26" t="inlineStr">
        <is>
          <t>Análise de Dados, Noções de Estatística e Inteligência Artificial</t>
        </is>
      </c>
      <c r="B70" s="27" t="n">
        <v>5</v>
      </c>
      <c r="C70" s="26" t="inlineStr">
        <is>
          <t>3 Storytelling. 3.3 Principios de narrativa com dados</t>
        </is>
      </c>
      <c r="D70" s="26" t="inlineStr">
        <is>
          <t>3</t>
        </is>
      </c>
    </row>
    <row r="71">
      <c r="A71" s="26" t="inlineStr">
        <is>
          <t>Análise de Dados, Noções de Estatística e Inteligência Artificial</t>
        </is>
      </c>
      <c r="B71" s="27" t="n">
        <v>6</v>
      </c>
      <c r="C71" s="26" t="inlineStr">
        <is>
          <t>4 IA generativa — prompt, vieses e etica</t>
        </is>
      </c>
      <c r="D71" s="26" t="inlineStr">
        <is>
          <t>4</t>
        </is>
      </c>
    </row>
    <row r="72">
      <c r="A72" s="26" t="inlineStr">
        <is>
          <t>Análise de Dados, Noções de Estatística e Inteligência Artificial</t>
        </is>
      </c>
      <c r="B72" s="27" t="n">
        <v>7</v>
      </c>
      <c r="C72" s="26" t="inlineStr">
        <is>
          <t>5 Excel. 5.2 Formulas logicas, financeiras e de busca</t>
        </is>
      </c>
      <c r="D72" s="26" t="inlineStr">
        <is>
          <t>5</t>
        </is>
      </c>
    </row>
    <row r="73">
      <c r="A73" s="26" t="inlineStr">
        <is>
          <t>Análise de Dados, Noções de Estatística e Inteligência Artificial</t>
        </is>
      </c>
      <c r="B73" s="27" t="n">
        <v>8</v>
      </c>
      <c r="C73" s="26" t="inlineStr">
        <is>
          <t>5.1 Excel avancado — Power Query</t>
        </is>
      </c>
      <c r="D73" s="26" t="inlineStr">
        <is>
          <t>5</t>
        </is>
      </c>
    </row>
    <row r="74">
      <c r="A74" s="26" t="inlineStr">
        <is>
          <t>Análise de Dados, Noções de Estatística e Inteligência Artificial</t>
        </is>
      </c>
      <c r="B74" s="27" t="n">
        <v>9</v>
      </c>
      <c r="C74" s="26" t="inlineStr">
        <is>
          <t>5.3 Tabelas dinamicas e grandes bases relacionais</t>
        </is>
      </c>
      <c r="D74" s="26" t="inlineStr">
        <is>
          <t>5</t>
        </is>
      </c>
    </row>
    <row r="75">
      <c r="A75" s="26" t="inlineStr">
        <is>
          <t>Regime Jurídico dos Servidores Públicos Civis do DF (LC 840/2011)</t>
        </is>
      </c>
      <c r="B75" s="27" t="n">
        <v>1</v>
      </c>
      <c r="C75" s="26" t="inlineStr">
        <is>
          <t>Apresentacao da disciplina</t>
        </is>
      </c>
      <c r="D75" s="26" t="inlineStr">
        <is>
          <t>—</t>
        </is>
      </c>
    </row>
    <row r="76">
      <c r="A76" s="26" t="inlineStr">
        <is>
          <t>Regime Jurídico dos Servidores Públicos Civis do DF (LC 840/2011)</t>
        </is>
      </c>
      <c r="B76" s="27" t="n">
        <v>2</v>
      </c>
      <c r="C76" s="26" t="inlineStr">
        <is>
          <t>1 LC 840/2011 — o estatuto inteiro em uma aula</t>
        </is>
      </c>
      <c r="D76" s="26" t="inlineStr">
        <is>
          <t>1</t>
        </is>
      </c>
    </row>
    <row r="77">
      <c r="A77" s="26" t="inlineStr">
        <is>
          <t>Direito Previdenciário</t>
        </is>
      </c>
      <c r="B77" s="27" t="n">
        <v>1</v>
      </c>
      <c r="C77" s="26" t="inlineStr">
        <is>
          <t>Apresentacao da disciplina</t>
        </is>
      </c>
      <c r="D77" s="26" t="inlineStr">
        <is>
          <t>—</t>
        </is>
      </c>
    </row>
    <row r="78">
      <c r="A78" s="26" t="inlineStr">
        <is>
          <t>Direito Previdenciário</t>
        </is>
      </c>
      <c r="B78" s="27" t="n">
        <v>2</v>
      </c>
      <c r="C78" s="26" t="inlineStr">
        <is>
          <t>1 Seguridade social. 1.1 Origem e evolucao legislativa</t>
        </is>
      </c>
      <c r="D78" s="26" t="inlineStr">
        <is>
          <t>1</t>
        </is>
      </c>
    </row>
    <row r="79">
      <c r="A79" s="26" t="inlineStr">
        <is>
          <t>Direito Previdenciário</t>
        </is>
      </c>
      <c r="B79" s="27" t="n">
        <v>3</v>
      </c>
      <c r="C79" s="26" t="inlineStr">
        <is>
          <t>1.2 Conceito, organizacao e principios constitucionais</t>
        </is>
      </c>
      <c r="D79" s="26" t="inlineStr">
        <is>
          <t>1</t>
        </is>
      </c>
    </row>
    <row r="80">
      <c r="A80" s="26" t="inlineStr">
        <is>
          <t>Direito Previdenciário</t>
        </is>
      </c>
      <c r="B80" s="27" t="n">
        <v>4</v>
      </c>
      <c r="C80" s="26" t="inlineStr">
        <is>
          <t>2 RGPS — Lei 8.212/1991</t>
        </is>
      </c>
      <c r="D80" s="26" t="inlineStr">
        <is>
          <t>2</t>
        </is>
      </c>
    </row>
    <row r="81">
      <c r="A81" s="26" t="inlineStr">
        <is>
          <t>Direito Previdenciário</t>
        </is>
      </c>
      <c r="B81" s="27" t="n">
        <v>5</v>
      </c>
      <c r="C81" s="26" t="inlineStr">
        <is>
          <t>Lei 8.213/1991</t>
        </is>
      </c>
      <c r="D81" s="26" t="inlineStr">
        <is>
          <t>2</t>
        </is>
      </c>
    </row>
    <row r="82">
      <c r="A82" s="26" t="inlineStr">
        <is>
          <t>Direito Previdenciário</t>
        </is>
      </c>
      <c r="B82" s="27" t="n">
        <v>6</v>
      </c>
      <c r="C82" s="26" t="inlineStr">
        <is>
          <t>3 RPPS dos servidores publicos</t>
        </is>
      </c>
      <c r="D82" s="26" t="inlineStr">
        <is>
          <t>3</t>
        </is>
      </c>
    </row>
    <row r="83">
      <c r="A83" s="26" t="inlineStr">
        <is>
          <t>Direito Previdenciário</t>
        </is>
      </c>
      <c r="B83" s="27" t="n">
        <v>7</v>
      </c>
      <c r="C83" s="26" t="inlineStr">
        <is>
          <t>RPPS/DF — LC distrital 769/2008</t>
        </is>
      </c>
      <c r="D83" s="26" t="inlineStr">
        <is>
          <t>4</t>
        </is>
      </c>
    </row>
    <row r="84">
      <c r="A84" s="26" t="inlineStr">
        <is>
          <t>Direito Previdenciário</t>
        </is>
      </c>
      <c r="B84" s="27" t="n">
        <v>8</v>
      </c>
      <c r="C84" s="26" t="inlineStr">
        <is>
          <t>4 Previdencia complementar — LC 108/2001 e LC 109/2001</t>
        </is>
      </c>
      <c r="D84" s="26" t="inlineStr">
        <is>
          <t>5</t>
        </is>
      </c>
    </row>
    <row r="85">
      <c r="A85" s="26" t="inlineStr">
        <is>
          <t>Direito Previdenciário</t>
        </is>
      </c>
      <c r="B85" s="27" t="n">
        <v>9</v>
      </c>
      <c r="C85" s="26" t="inlineStr">
        <is>
          <t>LC distrital 932/2017</t>
        </is>
      </c>
      <c r="D85" s="26" t="inlineStr">
        <is>
          <t>5</t>
        </is>
      </c>
    </row>
    <row r="86">
      <c r="A86" s="26" t="inlineStr">
        <is>
          <t>Noções de Direito Civil</t>
        </is>
      </c>
      <c r="B86" s="27" t="n">
        <v>1</v>
      </c>
      <c r="C86" s="26" t="inlineStr">
        <is>
          <t>Apresentacao da disciplina</t>
        </is>
      </c>
      <c r="D86" s="26" t="inlineStr">
        <is>
          <t>—</t>
        </is>
      </c>
    </row>
    <row r="87">
      <c r="A87" s="26" t="inlineStr">
        <is>
          <t>Noções de Direito Civil</t>
        </is>
      </c>
      <c r="B87" s="27" t="n">
        <v>2</v>
      </c>
      <c r="C87" s="26" t="inlineStr">
        <is>
          <t>1 LINDB</t>
        </is>
      </c>
      <c r="D87" s="26" t="inlineStr">
        <is>
          <t>1</t>
        </is>
      </c>
    </row>
    <row r="88">
      <c r="A88" s="26" t="inlineStr">
        <is>
          <t>Noções de Direito Civil</t>
        </is>
      </c>
      <c r="B88" s="27" t="n">
        <v>3</v>
      </c>
      <c r="C88" s="26" t="inlineStr">
        <is>
          <t>2 Pessoas — naturais, juridicas e domicilio</t>
        </is>
      </c>
      <c r="D88" s="26" t="inlineStr">
        <is>
          <t>2</t>
        </is>
      </c>
    </row>
    <row r="89">
      <c r="A89" s="26" t="inlineStr">
        <is>
          <t>Noções de Direito Civil</t>
        </is>
      </c>
      <c r="B89" s="27" t="n">
        <v>4</v>
      </c>
      <c r="C89" s="26" t="inlineStr">
        <is>
          <t>3 Bens</t>
        </is>
      </c>
      <c r="D89" s="26" t="inlineStr">
        <is>
          <t>3</t>
        </is>
      </c>
    </row>
    <row r="90">
      <c r="A90" s="26" t="inlineStr">
        <is>
          <t>Noções de Direito Civil</t>
        </is>
      </c>
      <c r="B90" s="27" t="n">
        <v>5</v>
      </c>
      <c r="C90" s="26" t="inlineStr">
        <is>
          <t>4 Fatos juridicos. 5 Atos licitos e ilicitos. 6 Prescricao e decadencia</t>
        </is>
      </c>
      <c r="D90" s="26" t="inlineStr">
        <is>
          <t>4, 5, 6</t>
        </is>
      </c>
    </row>
    <row r="91">
      <c r="A91" s="26" t="inlineStr">
        <is>
          <t>Língua Portuguesa</t>
        </is>
      </c>
      <c r="B91" s="27" t="n">
        <v>1</v>
      </c>
      <c r="C91" s="26" t="inlineStr">
        <is>
          <t>Apresentacao da disciplina</t>
        </is>
      </c>
      <c r="D91" s="26" t="inlineStr">
        <is>
          <t>—</t>
        </is>
      </c>
    </row>
    <row r="92">
      <c r="A92" s="26" t="inlineStr">
        <is>
          <t>Língua Portuguesa</t>
        </is>
      </c>
      <c r="B92" s="27" t="n">
        <v>2</v>
      </c>
      <c r="C92" s="26" t="inlineStr">
        <is>
          <t>1 Compreensao e interpretacao de textos</t>
        </is>
      </c>
      <c r="D92" s="26" t="inlineStr">
        <is>
          <t>1</t>
        </is>
      </c>
    </row>
    <row r="93">
      <c r="A93" s="26" t="inlineStr">
        <is>
          <t>Língua Portuguesa</t>
        </is>
      </c>
      <c r="B93" s="27" t="n">
        <v>3</v>
      </c>
      <c r="C93" s="26" t="inlineStr">
        <is>
          <t>6.1 Significacao das palavras</t>
        </is>
      </c>
      <c r="D93" s="26" t="inlineStr">
        <is>
          <t>6</t>
        </is>
      </c>
    </row>
    <row r="94">
      <c r="A94" s="26" t="inlineStr">
        <is>
          <t>Língua Portuguesa</t>
        </is>
      </c>
      <c r="B94" s="27" t="n">
        <v>4</v>
      </c>
      <c r="C94" s="26" t="inlineStr">
        <is>
          <t>2 Reconhecimento de tipos e generos textuais</t>
        </is>
      </c>
      <c r="D94" s="26" t="inlineStr">
        <is>
          <t>2</t>
        </is>
      </c>
    </row>
    <row r="95">
      <c r="A95" s="26" t="inlineStr">
        <is>
          <t>Língua Portuguesa</t>
        </is>
      </c>
      <c r="B95" s="27" t="n">
        <v>5</v>
      </c>
      <c r="C95" s="26" t="inlineStr">
        <is>
          <t>4 Coesao textual. 4.1 Referenciacao, substituicao, conectores</t>
        </is>
      </c>
      <c r="D95" s="26" t="inlineStr">
        <is>
          <t>4</t>
        </is>
      </c>
    </row>
    <row r="96">
      <c r="A96" s="26" t="inlineStr">
        <is>
          <t>Língua Portuguesa</t>
        </is>
      </c>
      <c r="B96" s="27" t="n">
        <v>6</v>
      </c>
      <c r="C96" s="26" t="inlineStr">
        <is>
          <t>6 Reescrita. 6.2 Substituicao de palavras ou trechos</t>
        </is>
      </c>
      <c r="D96" s="26" t="inlineStr">
        <is>
          <t>6</t>
        </is>
      </c>
    </row>
    <row r="97">
      <c r="A97" s="26" t="inlineStr">
        <is>
          <t>Língua Portuguesa</t>
        </is>
      </c>
      <c r="B97" s="27" t="n">
        <v>7</v>
      </c>
      <c r="C97" s="26" t="inlineStr">
        <is>
          <t>5.1 Classes de palavras. 4.2 Tempos e modos verbais</t>
        </is>
      </c>
      <c r="D97" s="26" t="inlineStr">
        <is>
          <t>5, 4</t>
        </is>
      </c>
    </row>
    <row r="98">
      <c r="A98" s="26" t="inlineStr">
        <is>
          <t>Língua Portuguesa</t>
        </is>
      </c>
      <c r="B98" s="27" t="n">
        <v>8</v>
      </c>
      <c r="C98" s="26" t="inlineStr">
        <is>
          <t>5 Estrutura morfossintatica do periodo</t>
        </is>
      </c>
      <c r="D98" s="26" t="inlineStr">
        <is>
          <t>5</t>
        </is>
      </c>
    </row>
    <row r="99">
      <c r="A99" s="26" t="inlineStr">
        <is>
          <t>Língua Portuguesa</t>
        </is>
      </c>
      <c r="B99" s="27" t="n">
        <v>9</v>
      </c>
      <c r="C99" s="26" t="inlineStr">
        <is>
          <t>5.3 Relacoes de subordinacao</t>
        </is>
      </c>
      <c r="D99" s="26" t="inlineStr">
        <is>
          <t>5</t>
        </is>
      </c>
    </row>
    <row r="100">
      <c r="A100" s="26" t="inlineStr">
        <is>
          <t>Língua Portuguesa</t>
        </is>
      </c>
      <c r="B100" s="27" t="n">
        <v>10</v>
      </c>
      <c r="C100" s="26" t="inlineStr">
        <is>
          <t>5.2 Relacoes de coordenacao</t>
        </is>
      </c>
      <c r="D100" s="26" t="inlineStr">
        <is>
          <t>5</t>
        </is>
      </c>
    </row>
    <row r="101">
      <c r="A101" s="26" t="inlineStr">
        <is>
          <t>Língua Portuguesa</t>
        </is>
      </c>
      <c r="B101" s="27" t="n">
        <v>11</v>
      </c>
      <c r="C101" s="26" t="inlineStr">
        <is>
          <t>5.4 Sinais de pontuacao</t>
        </is>
      </c>
      <c r="D101" s="26" t="inlineStr">
        <is>
          <t>5</t>
        </is>
      </c>
    </row>
    <row r="102">
      <c r="A102" s="26" t="inlineStr">
        <is>
          <t>Língua Portuguesa</t>
        </is>
      </c>
      <c r="B102" s="27" t="n">
        <v>12</v>
      </c>
      <c r="C102" s="26" t="inlineStr">
        <is>
          <t>5.6 Regencia verbal e nominal</t>
        </is>
      </c>
      <c r="D102" s="26" t="inlineStr">
        <is>
          <t>5</t>
        </is>
      </c>
    </row>
    <row r="103">
      <c r="A103" s="26" t="inlineStr">
        <is>
          <t>Língua Portuguesa</t>
        </is>
      </c>
      <c r="B103" s="27" t="n">
        <v>13</v>
      </c>
      <c r="C103" s="26" t="inlineStr">
        <is>
          <t>5.7 Sinal indicativo de crase</t>
        </is>
      </c>
      <c r="D103" s="26" t="inlineStr">
        <is>
          <t>5</t>
        </is>
      </c>
    </row>
    <row r="104">
      <c r="A104" s="26" t="inlineStr">
        <is>
          <t>Língua Portuguesa</t>
        </is>
      </c>
      <c r="B104" s="27" t="n">
        <v>14</v>
      </c>
      <c r="C104" s="26" t="inlineStr">
        <is>
          <t>5.5 Concordancia verbal e nominal</t>
        </is>
      </c>
      <c r="D104" s="26" t="inlineStr">
        <is>
          <t>5</t>
        </is>
      </c>
    </row>
    <row r="105">
      <c r="A105" s="26" t="inlineStr">
        <is>
          <t>Língua Portuguesa</t>
        </is>
      </c>
      <c r="B105" s="27" t="n">
        <v>15</v>
      </c>
      <c r="C105" s="26" t="inlineStr">
        <is>
          <t>5.8 Colocacao dos pronomes atonos</t>
        </is>
      </c>
      <c r="D105" s="26" t="inlineStr">
        <is>
          <t>5</t>
        </is>
      </c>
    </row>
    <row r="106">
      <c r="A106" s="26" t="inlineStr">
        <is>
          <t>Língua Portuguesa</t>
        </is>
      </c>
      <c r="B106" s="27" t="n">
        <v>16</v>
      </c>
      <c r="C106" s="26" t="inlineStr">
        <is>
          <t>3 Dominio da ortografia oficial</t>
        </is>
      </c>
      <c r="D106" s="26" t="inlineStr">
        <is>
          <t>3</t>
        </is>
      </c>
    </row>
    <row r="107">
      <c r="A107" s="26" t="inlineStr">
        <is>
          <t>Raciocínio Lógico e Matemática Financeira</t>
        </is>
      </c>
      <c r="B107" s="27" t="n">
        <v>1</v>
      </c>
      <c r="C107" s="26" t="inlineStr">
        <is>
          <t>1 a 4 — estruturas logicas, argumentacao, logica sentencial e de primeira ordem</t>
        </is>
      </c>
      <c r="D107" s="26" t="inlineStr">
        <is>
          <t>1, 2, 3, 4</t>
        </is>
      </c>
    </row>
    <row r="108">
      <c r="A108" s="26" t="inlineStr">
        <is>
          <t>Raciocínio Lógico e Matemática Financeira</t>
        </is>
      </c>
      <c r="B108" s="27" t="n">
        <v>2</v>
      </c>
      <c r="C108" s="26" t="inlineStr">
        <is>
          <t>5 Contagem e probabilidade. 6 Operacoes com conjuntos</t>
        </is>
      </c>
      <c r="D108" s="26" t="inlineStr">
        <is>
          <t>5, 6</t>
        </is>
      </c>
    </row>
    <row r="109">
      <c r="A109" s="26" t="inlineStr">
        <is>
          <t>Raciocínio Lógico e Matemática Financeira</t>
        </is>
      </c>
      <c r="B109" s="27" t="n">
        <v>3</v>
      </c>
      <c r="C109" s="26" t="inlineStr">
        <is>
          <t>7 Matematica financeira</t>
        </is>
      </c>
      <c r="D109" s="26" t="inlineStr">
        <is>
          <t>7</t>
        </is>
      </c>
    </row>
    <row r="110">
      <c r="A110" s="26" t="inlineStr">
        <is>
          <t>Conhecimentos do Distrito Federal e Política para Mulheres</t>
        </is>
      </c>
      <c r="B110" s="27" t="n">
        <v>1</v>
      </c>
      <c r="C110" s="26" t="inlineStr">
        <is>
          <t>Apresentacao da disciplina</t>
        </is>
      </c>
      <c r="D110" s="26" t="inlineStr">
        <is>
          <t>—</t>
        </is>
      </c>
    </row>
    <row r="111">
      <c r="A111" s="26" t="inlineStr">
        <is>
          <t>Conhecimentos do Distrito Federal e Política para Mulheres</t>
        </is>
      </c>
      <c r="B111" s="27" t="n">
        <v>2</v>
      </c>
      <c r="C111" s="26" t="inlineStr">
        <is>
          <t>1 Realidade do DF e RIDE (LC 94/1998, Decreto 7.469/2011)</t>
        </is>
      </c>
      <c r="D111" s="26" t="inlineStr">
        <is>
          <t>1</t>
        </is>
      </c>
    </row>
    <row r="112">
      <c r="A112" s="26" t="inlineStr">
        <is>
          <t>Conhecimentos do Distrito Federal e Política para Mulheres</t>
        </is>
      </c>
      <c r="B112" s="27" t="n">
        <v>3</v>
      </c>
      <c r="C112" s="26" t="inlineStr">
        <is>
          <t>2 Plano Distrital de Politica para Mulheres (2020-2023)</t>
        </is>
      </c>
      <c r="D112" s="26" t="inlineStr">
        <is>
          <t>2</t>
        </is>
      </c>
    </row>
    <row r="113">
      <c r="A113" s="26" t="inlineStr">
        <is>
          <t>Conhecimentos do Distrito Federal e Política para Mulheres</t>
        </is>
      </c>
      <c r="B113" s="27" t="n">
        <v>4</v>
      </c>
      <c r="C113" s="26" t="inlineStr">
        <is>
          <t>3 Lei 11.340/2006 — Maria da Penha</t>
        </is>
      </c>
      <c r="D113" s="26" t="inlineStr">
        <is>
          <t>3</t>
        </is>
      </c>
    </row>
    <row r="114">
      <c r="A114" s="26" t="inlineStr">
        <is>
          <t>Noções de Primeiros Socorros</t>
        </is>
      </c>
      <c r="B114" s="27" t="n">
        <v>1</v>
      </c>
      <c r="C114" s="26" t="inlineStr">
        <is>
          <t>Apresentacao da disciplina</t>
        </is>
      </c>
      <c r="D114" s="26" t="inlineStr">
        <is>
          <t>—</t>
        </is>
      </c>
    </row>
    <row r="115">
      <c r="A115" s="26" t="inlineStr">
        <is>
          <t>Noções de Primeiros Socorros</t>
        </is>
      </c>
      <c r="B115" s="27" t="n">
        <v>2</v>
      </c>
      <c r="C115" s="26" t="inlineStr">
        <is>
          <t>1 Cuidados iniciais, urgencia e emergencia, condutas basicas</t>
        </is>
      </c>
      <c r="D115" s="26" t="inlineStr">
        <is>
          <t>1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2026-09-15T13:40:56Z</dcterms:created>
  <dcterms:modified xsi:type="dcterms:W3CDTF">2026-09-15T13:40:56Z</dcterms:modified>
</cp:coreProperties>
</file>